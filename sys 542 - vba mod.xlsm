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emanthnirujogi/Downloads/"/>
    </mc:Choice>
  </mc:AlternateContent>
  <xr:revisionPtr revIDLastSave="0" documentId="13_ncr:1_{71906E99-10C1-1B43-872C-535FFFA73EC9}" xr6:coauthVersionLast="32" xr6:coauthVersionMax="32" xr10:uidLastSave="{00000000-0000-0000-0000-000000000000}"/>
  <bookViews>
    <workbookView xWindow="0" yWindow="0" windowWidth="33600" windowHeight="21000" activeTab="2" xr2:uid="{00000000-000D-0000-FFFF-FFFF00000000}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Sheet1!$A$1:$L$369</definedName>
    <definedName name="_xlnm._FilterDatabase" localSheetId="1" hidden="1">Sheet2!$A$1:$K$369</definedName>
    <definedName name="_xlnm._FilterDatabase" localSheetId="2" hidden="1">Sheet3!$A$18:$J$386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3" l="1"/>
  <c r="I384" i="3"/>
  <c r="I385" i="3" s="1"/>
  <c r="I386" i="3" s="1"/>
  <c r="I380" i="3"/>
  <c r="I381" i="3" s="1"/>
  <c r="I382" i="3" s="1"/>
  <c r="I376" i="3"/>
  <c r="I377" i="3" s="1"/>
  <c r="I378" i="3" s="1"/>
  <c r="I372" i="3"/>
  <c r="I373" i="3" s="1"/>
  <c r="I374" i="3" s="1"/>
  <c r="I368" i="3"/>
  <c r="I369" i="3" s="1"/>
  <c r="I370" i="3" s="1"/>
  <c r="I364" i="3"/>
  <c r="I365" i="3" s="1"/>
  <c r="I366" i="3" s="1"/>
  <c r="I360" i="3"/>
  <c r="I361" i="3" s="1"/>
  <c r="I362" i="3" s="1"/>
  <c r="I356" i="3"/>
  <c r="I357" i="3" s="1"/>
  <c r="I358" i="3" s="1"/>
  <c r="I352" i="3"/>
  <c r="I353" i="3" s="1"/>
  <c r="I354" i="3" s="1"/>
  <c r="I350" i="3"/>
  <c r="I349" i="3"/>
  <c r="I348" i="3"/>
  <c r="I346" i="3"/>
  <c r="I345" i="3"/>
  <c r="I344" i="3"/>
  <c r="I340" i="3"/>
  <c r="I341" i="3" s="1"/>
  <c r="I342" i="3" s="1"/>
  <c r="I338" i="3"/>
  <c r="I337" i="3"/>
  <c r="I336" i="3"/>
  <c r="I334" i="3"/>
  <c r="I333" i="3"/>
  <c r="I332" i="3"/>
  <c r="I330" i="3"/>
  <c r="I329" i="3"/>
  <c r="I328" i="3"/>
  <c r="I324" i="3"/>
  <c r="I325" i="3" s="1"/>
  <c r="I326" i="3" s="1"/>
  <c r="I320" i="3"/>
  <c r="I321" i="3" s="1"/>
  <c r="I322" i="3" s="1"/>
  <c r="I316" i="3"/>
  <c r="I317" i="3" s="1"/>
  <c r="I318" i="3" s="1"/>
  <c r="I312" i="3"/>
  <c r="I313" i="3" s="1"/>
  <c r="I314" i="3" s="1"/>
  <c r="I308" i="3"/>
  <c r="I309" i="3" s="1"/>
  <c r="I310" i="3" s="1"/>
  <c r="I304" i="3"/>
  <c r="I305" i="3" s="1"/>
  <c r="I306" i="3" s="1"/>
  <c r="I300" i="3"/>
  <c r="I301" i="3" s="1"/>
  <c r="I302" i="3" s="1"/>
  <c r="I296" i="3"/>
  <c r="I297" i="3" s="1"/>
  <c r="I298" i="3" s="1"/>
  <c r="I292" i="3"/>
  <c r="I293" i="3" s="1"/>
  <c r="I294" i="3" s="1"/>
  <c r="I288" i="3"/>
  <c r="I289" i="3" s="1"/>
  <c r="I290" i="3" s="1"/>
  <c r="I284" i="3"/>
  <c r="I285" i="3" s="1"/>
  <c r="I286" i="3" s="1"/>
  <c r="I280" i="3"/>
  <c r="I281" i="3" s="1"/>
  <c r="I282" i="3" s="1"/>
  <c r="I276" i="3"/>
  <c r="I277" i="3" s="1"/>
  <c r="I278" i="3" s="1"/>
  <c r="I272" i="3"/>
  <c r="I273" i="3" s="1"/>
  <c r="I274" i="3" s="1"/>
  <c r="I268" i="3"/>
  <c r="I269" i="3" s="1"/>
  <c r="I270" i="3" s="1"/>
  <c r="I264" i="3"/>
  <c r="I265" i="3" s="1"/>
  <c r="I266" i="3" s="1"/>
  <c r="I260" i="3"/>
  <c r="I261" i="3" s="1"/>
  <c r="I262" i="3" s="1"/>
  <c r="I258" i="3"/>
  <c r="I257" i="3"/>
  <c r="I256" i="3"/>
  <c r="I254" i="3"/>
  <c r="I253" i="3"/>
  <c r="I252" i="3"/>
  <c r="I248" i="3"/>
  <c r="I249" i="3" s="1"/>
  <c r="I250" i="3" s="1"/>
  <c r="I246" i="3"/>
  <c r="I245" i="3"/>
  <c r="I244" i="3"/>
  <c r="I242" i="3"/>
  <c r="I241" i="3"/>
  <c r="I240" i="3"/>
  <c r="I238" i="3"/>
  <c r="I237" i="3"/>
  <c r="I236" i="3"/>
  <c r="I232" i="3"/>
  <c r="I233" i="3" s="1"/>
  <c r="I234" i="3" s="1"/>
  <c r="I228" i="3"/>
  <c r="I229" i="3" s="1"/>
  <c r="I230" i="3" s="1"/>
  <c r="I224" i="3"/>
  <c r="I225" i="3" s="1"/>
  <c r="I226" i="3" s="1"/>
  <c r="I220" i="3"/>
  <c r="I221" i="3" s="1"/>
  <c r="I222" i="3" s="1"/>
  <c r="I216" i="3"/>
  <c r="I217" i="3" s="1"/>
  <c r="I218" i="3" s="1"/>
  <c r="I212" i="3"/>
  <c r="I213" i="3" s="1"/>
  <c r="I214" i="3" s="1"/>
  <c r="I208" i="3"/>
  <c r="I209" i="3" s="1"/>
  <c r="I210" i="3" s="1"/>
  <c r="I204" i="3"/>
  <c r="I205" i="3" s="1"/>
  <c r="I206" i="3" s="1"/>
  <c r="I200" i="3"/>
  <c r="I201" i="3" s="1"/>
  <c r="I202" i="3" s="1"/>
  <c r="I196" i="3"/>
  <c r="I197" i="3" s="1"/>
  <c r="I198" i="3" s="1"/>
  <c r="I192" i="3"/>
  <c r="I193" i="3" s="1"/>
  <c r="I194" i="3" s="1"/>
  <c r="I188" i="3"/>
  <c r="I189" i="3" s="1"/>
  <c r="I190" i="3" s="1"/>
  <c r="I184" i="3"/>
  <c r="I185" i="3" s="1"/>
  <c r="I186" i="3" s="1"/>
  <c r="I180" i="3"/>
  <c r="I181" i="3" s="1"/>
  <c r="I182" i="3" s="1"/>
  <c r="I176" i="3"/>
  <c r="I177" i="3" s="1"/>
  <c r="I178" i="3" s="1"/>
  <c r="I172" i="3"/>
  <c r="I173" i="3" s="1"/>
  <c r="I174" i="3" s="1"/>
  <c r="I168" i="3"/>
  <c r="I169" i="3" s="1"/>
  <c r="I170" i="3" s="1"/>
  <c r="I166" i="3"/>
  <c r="I165" i="3"/>
  <c r="I164" i="3"/>
  <c r="I162" i="3"/>
  <c r="I161" i="3"/>
  <c r="I160" i="3"/>
  <c r="I156" i="3"/>
  <c r="I157" i="3" s="1"/>
  <c r="I158" i="3" s="1"/>
  <c r="I154" i="3"/>
  <c r="I153" i="3"/>
  <c r="I152" i="3"/>
  <c r="I150" i="3"/>
  <c r="I149" i="3"/>
  <c r="I148" i="3"/>
  <c r="I146" i="3"/>
  <c r="I145" i="3"/>
  <c r="I144" i="3"/>
  <c r="I140" i="3"/>
  <c r="I141" i="3" s="1"/>
  <c r="I142" i="3" s="1"/>
  <c r="I136" i="3"/>
  <c r="I137" i="3" s="1"/>
  <c r="I138" i="3" s="1"/>
  <c r="I132" i="3"/>
  <c r="I133" i="3" s="1"/>
  <c r="I134" i="3" s="1"/>
  <c r="I128" i="3"/>
  <c r="I129" i="3" s="1"/>
  <c r="I130" i="3" s="1"/>
  <c r="I124" i="3"/>
  <c r="I125" i="3" s="1"/>
  <c r="I126" i="3" s="1"/>
  <c r="I120" i="3"/>
  <c r="I121" i="3" s="1"/>
  <c r="I122" i="3" s="1"/>
  <c r="I116" i="3"/>
  <c r="I117" i="3" s="1"/>
  <c r="I118" i="3" s="1"/>
  <c r="I112" i="3"/>
  <c r="I113" i="3" s="1"/>
  <c r="I114" i="3" s="1"/>
  <c r="I108" i="3"/>
  <c r="I109" i="3" s="1"/>
  <c r="I110" i="3" s="1"/>
  <c r="I104" i="3"/>
  <c r="I105" i="3" s="1"/>
  <c r="I106" i="3" s="1"/>
  <c r="I100" i="3"/>
  <c r="I101" i="3" s="1"/>
  <c r="I102" i="3" s="1"/>
  <c r="I96" i="3"/>
  <c r="I97" i="3" s="1"/>
  <c r="I98" i="3" s="1"/>
  <c r="I92" i="3"/>
  <c r="I93" i="3" s="1"/>
  <c r="I94" i="3" s="1"/>
  <c r="I88" i="3"/>
  <c r="I89" i="3" s="1"/>
  <c r="I90" i="3" s="1"/>
  <c r="I84" i="3"/>
  <c r="I85" i="3" s="1"/>
  <c r="I86" i="3" s="1"/>
  <c r="I80" i="3"/>
  <c r="I81" i="3" s="1"/>
  <c r="I82" i="3" s="1"/>
  <c r="I76" i="3"/>
  <c r="I77" i="3" s="1"/>
  <c r="I78" i="3" s="1"/>
  <c r="I74" i="3"/>
  <c r="I73" i="3"/>
  <c r="I72" i="3"/>
  <c r="I70" i="3"/>
  <c r="I69" i="3"/>
  <c r="I68" i="3"/>
  <c r="I64" i="3"/>
  <c r="I65" i="3" s="1"/>
  <c r="I66" i="3" s="1"/>
  <c r="I62" i="3"/>
  <c r="I61" i="3"/>
  <c r="I60" i="3"/>
  <c r="I58" i="3"/>
  <c r="I57" i="3"/>
  <c r="I56" i="3"/>
  <c r="I54" i="3"/>
  <c r="I53" i="3"/>
  <c r="I52" i="3"/>
  <c r="I48" i="3"/>
  <c r="I49" i="3" s="1"/>
  <c r="I50" i="3" s="1"/>
  <c r="I44" i="3"/>
  <c r="I45" i="3" s="1"/>
  <c r="I46" i="3" s="1"/>
  <c r="I40" i="3"/>
  <c r="I41" i="3" s="1"/>
  <c r="I42" i="3" s="1"/>
  <c r="I36" i="3"/>
  <c r="I37" i="3" s="1"/>
  <c r="I38" i="3" s="1"/>
  <c r="I32" i="3"/>
  <c r="I33" i="3" s="1"/>
  <c r="I34" i="3" s="1"/>
  <c r="I28" i="3"/>
  <c r="I29" i="3" s="1"/>
  <c r="I30" i="3" s="1"/>
  <c r="I24" i="3"/>
  <c r="I25" i="3" s="1"/>
  <c r="I26" i="3" s="1"/>
  <c r="I20" i="3"/>
  <c r="I21" i="3" s="1"/>
  <c r="I22" i="3" s="1"/>
  <c r="J59" i="2" l="1"/>
  <c r="J57" i="2"/>
  <c r="J7" i="2"/>
  <c r="J4" i="2"/>
  <c r="J5" i="2" s="1"/>
  <c r="J8" i="2" s="1"/>
  <c r="J62" i="2"/>
  <c r="J66" i="2"/>
  <c r="J79" i="2"/>
  <c r="J75" i="2"/>
  <c r="J51" i="2"/>
  <c r="J74" i="2"/>
  <c r="J24" i="2"/>
  <c r="J25" i="2" s="1"/>
  <c r="I367" i="1"/>
  <c r="I368" i="1" s="1"/>
  <c r="I369" i="1" s="1"/>
  <c r="I363" i="1"/>
  <c r="I364" i="1" s="1"/>
  <c r="I365" i="1" s="1"/>
  <c r="I359" i="1"/>
  <c r="I360" i="1" s="1"/>
  <c r="I361" i="1" s="1"/>
  <c r="I355" i="1"/>
  <c r="I356" i="1" s="1"/>
  <c r="I357" i="1" s="1"/>
  <c r="I351" i="1"/>
  <c r="I352" i="1" s="1"/>
  <c r="I353" i="1" s="1"/>
  <c r="I347" i="1"/>
  <c r="I348" i="1" s="1"/>
  <c r="I349" i="1" s="1"/>
  <c r="I343" i="1"/>
  <c r="I344" i="1" s="1"/>
  <c r="I345" i="1" s="1"/>
  <c r="I339" i="1"/>
  <c r="I340" i="1" s="1"/>
  <c r="I341" i="1" s="1"/>
  <c r="I335" i="1"/>
  <c r="I336" i="1" s="1"/>
  <c r="I337" i="1" s="1"/>
  <c r="I333" i="1"/>
  <c r="I332" i="1"/>
  <c r="I331" i="1"/>
  <c r="I329" i="1"/>
  <c r="I328" i="1"/>
  <c r="I327" i="1"/>
  <c r="I323" i="1"/>
  <c r="I324" i="1" s="1"/>
  <c r="I325" i="1" s="1"/>
  <c r="I321" i="1"/>
  <c r="I320" i="1"/>
  <c r="I319" i="1"/>
  <c r="I317" i="1"/>
  <c r="I316" i="1"/>
  <c r="I315" i="1"/>
  <c r="I313" i="1"/>
  <c r="I312" i="1"/>
  <c r="I311" i="1"/>
  <c r="I307" i="1"/>
  <c r="I308" i="1" s="1"/>
  <c r="I309" i="1" s="1"/>
  <c r="I303" i="1"/>
  <c r="I304" i="1" s="1"/>
  <c r="I305" i="1" s="1"/>
  <c r="I299" i="1"/>
  <c r="I300" i="1" s="1"/>
  <c r="I301" i="1" s="1"/>
  <c r="I295" i="1"/>
  <c r="I296" i="1" s="1"/>
  <c r="I297" i="1" s="1"/>
  <c r="I291" i="1"/>
  <c r="I292" i="1" s="1"/>
  <c r="I293" i="1" s="1"/>
  <c r="I287" i="1"/>
  <c r="I288" i="1" s="1"/>
  <c r="I289" i="1" s="1"/>
  <c r="I283" i="1"/>
  <c r="I284" i="1" s="1"/>
  <c r="I285" i="1" s="1"/>
  <c r="I279" i="1"/>
  <c r="I280" i="1" s="1"/>
  <c r="I281" i="1" s="1"/>
  <c r="I275" i="1"/>
  <c r="I276" i="1" s="1"/>
  <c r="I277" i="1" s="1"/>
  <c r="I271" i="1"/>
  <c r="I272" i="1" s="1"/>
  <c r="I273" i="1" s="1"/>
  <c r="I267" i="1"/>
  <c r="I268" i="1" s="1"/>
  <c r="I269" i="1" s="1"/>
  <c r="I263" i="1"/>
  <c r="I264" i="1" s="1"/>
  <c r="I265" i="1" s="1"/>
  <c r="I259" i="1"/>
  <c r="I260" i="1" s="1"/>
  <c r="I261" i="1" s="1"/>
  <c r="I255" i="1"/>
  <c r="I256" i="1" s="1"/>
  <c r="I257" i="1" s="1"/>
  <c r="I251" i="1"/>
  <c r="I252" i="1" s="1"/>
  <c r="I253" i="1" s="1"/>
  <c r="I247" i="1"/>
  <c r="I248" i="1" s="1"/>
  <c r="I249" i="1" s="1"/>
  <c r="I243" i="1"/>
  <c r="I244" i="1" s="1"/>
  <c r="I245" i="1" s="1"/>
  <c r="I241" i="1"/>
  <c r="I240" i="1"/>
  <c r="I239" i="1"/>
  <c r="I237" i="1"/>
  <c r="I236" i="1"/>
  <c r="I235" i="1"/>
  <c r="I231" i="1"/>
  <c r="I232" i="1" s="1"/>
  <c r="I233" i="1" s="1"/>
  <c r="I229" i="1"/>
  <c r="I228" i="1"/>
  <c r="I227" i="1"/>
  <c r="I225" i="1"/>
  <c r="I224" i="1"/>
  <c r="I223" i="1"/>
  <c r="I221" i="1"/>
  <c r="I220" i="1"/>
  <c r="I219" i="1"/>
  <c r="I215" i="1"/>
  <c r="I216" i="1" s="1"/>
  <c r="I217" i="1" s="1"/>
  <c r="I211" i="1"/>
  <c r="I212" i="1" s="1"/>
  <c r="I213" i="1" s="1"/>
  <c r="I207" i="1"/>
  <c r="I208" i="1" s="1"/>
  <c r="I209" i="1" s="1"/>
  <c r="I203" i="1"/>
  <c r="I204" i="1" s="1"/>
  <c r="I205" i="1" s="1"/>
  <c r="I199" i="1"/>
  <c r="I200" i="1" s="1"/>
  <c r="I201" i="1" s="1"/>
  <c r="I195" i="1"/>
  <c r="I196" i="1" s="1"/>
  <c r="I197" i="1" s="1"/>
  <c r="I191" i="1"/>
  <c r="I192" i="1" s="1"/>
  <c r="I193" i="1" s="1"/>
  <c r="I187" i="1"/>
  <c r="I188" i="1" s="1"/>
  <c r="I189" i="1" s="1"/>
  <c r="I183" i="1"/>
  <c r="I184" i="1" s="1"/>
  <c r="I185" i="1" s="1"/>
  <c r="I179" i="1"/>
  <c r="I180" i="1" s="1"/>
  <c r="I181" i="1" s="1"/>
  <c r="I175" i="1"/>
  <c r="I176" i="1" s="1"/>
  <c r="I177" i="1" s="1"/>
  <c r="I171" i="1"/>
  <c r="I172" i="1" s="1"/>
  <c r="I173" i="1" s="1"/>
  <c r="I167" i="1"/>
  <c r="I168" i="1" s="1"/>
  <c r="I169" i="1" s="1"/>
  <c r="I163" i="1"/>
  <c r="I164" i="1" s="1"/>
  <c r="I165" i="1" s="1"/>
  <c r="I159" i="1"/>
  <c r="I160" i="1" s="1"/>
  <c r="I161" i="1" s="1"/>
  <c r="I155" i="1"/>
  <c r="I156" i="1" s="1"/>
  <c r="I157" i="1" s="1"/>
  <c r="I151" i="1"/>
  <c r="I152" i="1" s="1"/>
  <c r="I153" i="1" s="1"/>
  <c r="I149" i="1"/>
  <c r="I148" i="1"/>
  <c r="I147" i="1"/>
  <c r="I145" i="1"/>
  <c r="I144" i="1"/>
  <c r="I143" i="1"/>
  <c r="I139" i="1"/>
  <c r="I140" i="1" s="1"/>
  <c r="I141" i="1" s="1"/>
  <c r="I137" i="1"/>
  <c r="I136" i="1"/>
  <c r="I135" i="1"/>
  <c r="I133" i="1"/>
  <c r="I132" i="1"/>
  <c r="I131" i="1"/>
  <c r="I129" i="1"/>
  <c r="I128" i="1"/>
  <c r="I127" i="1"/>
  <c r="I123" i="1"/>
  <c r="I124" i="1" s="1"/>
  <c r="I125" i="1" s="1"/>
  <c r="I119" i="1"/>
  <c r="I120" i="1" s="1"/>
  <c r="I121" i="1" s="1"/>
  <c r="I115" i="1"/>
  <c r="I116" i="1" s="1"/>
  <c r="I117" i="1" s="1"/>
  <c r="I111" i="1"/>
  <c r="I112" i="1" s="1"/>
  <c r="I113" i="1" s="1"/>
  <c r="I107" i="1"/>
  <c r="I108" i="1" s="1"/>
  <c r="I109" i="1" s="1"/>
  <c r="I103" i="1"/>
  <c r="I104" i="1" s="1"/>
  <c r="I105" i="1" s="1"/>
  <c r="I99" i="1"/>
  <c r="I100" i="1" s="1"/>
  <c r="I101" i="1" s="1"/>
  <c r="I95" i="1"/>
  <c r="I96" i="1" s="1"/>
  <c r="I97" i="1" s="1"/>
  <c r="I91" i="1"/>
  <c r="I92" i="1" s="1"/>
  <c r="I93" i="1" s="1"/>
  <c r="I87" i="1"/>
  <c r="I88" i="1" s="1"/>
  <c r="I89" i="1" s="1"/>
  <c r="I83" i="1"/>
  <c r="I84" i="1" s="1"/>
  <c r="I85" i="1" s="1"/>
  <c r="I79" i="1"/>
  <c r="I80" i="1" s="1"/>
  <c r="I81" i="1" s="1"/>
  <c r="I75" i="1"/>
  <c r="I76" i="1" s="1"/>
  <c r="I77" i="1" s="1"/>
  <c r="I71" i="1"/>
  <c r="I72" i="1" s="1"/>
  <c r="I73" i="1" s="1"/>
  <c r="I67" i="1"/>
  <c r="I68" i="1" s="1"/>
  <c r="I69" i="1" s="1"/>
  <c r="I63" i="1"/>
  <c r="I64" i="1" s="1"/>
  <c r="I65" i="1" s="1"/>
  <c r="I59" i="1"/>
  <c r="I60" i="1" s="1"/>
  <c r="I61" i="1" s="1"/>
  <c r="I57" i="1"/>
  <c r="I56" i="1"/>
  <c r="I55" i="1"/>
  <c r="I53" i="1"/>
  <c r="I52" i="1"/>
  <c r="I51" i="1"/>
  <c r="I47" i="1"/>
  <c r="I48" i="1" s="1"/>
  <c r="I49" i="1" s="1"/>
  <c r="I45" i="1"/>
  <c r="I44" i="1"/>
  <c r="I43" i="1"/>
  <c r="I41" i="1"/>
  <c r="I40" i="1"/>
  <c r="I39" i="1"/>
  <c r="I37" i="1"/>
  <c r="I36" i="1"/>
  <c r="I35" i="1"/>
  <c r="I31" i="1"/>
  <c r="I32" i="1" s="1"/>
  <c r="I33" i="1" s="1"/>
  <c r="I27" i="1"/>
  <c r="I28" i="1" s="1"/>
  <c r="I29" i="1" s="1"/>
  <c r="I23" i="1"/>
  <c r="I24" i="1" s="1"/>
  <c r="I25" i="1" s="1"/>
  <c r="I19" i="1"/>
  <c r="I20" i="1" s="1"/>
  <c r="I21" i="1" s="1"/>
  <c r="I15" i="1"/>
  <c r="I16" i="1" s="1"/>
  <c r="I17" i="1" s="1"/>
  <c r="I11" i="1"/>
  <c r="I12" i="1" s="1"/>
  <c r="I13" i="1" s="1"/>
  <c r="I7" i="1"/>
  <c r="I8" i="1" s="1"/>
  <c r="I9" i="1" s="1"/>
  <c r="I3" i="1"/>
  <c r="I4" i="1" s="1"/>
  <c r="I5" i="1" s="1"/>
  <c r="J76" i="2" l="1"/>
  <c r="J77" i="2" s="1"/>
  <c r="J63" i="2"/>
  <c r="J64" i="2" s="1"/>
  <c r="J65" i="2" s="1"/>
  <c r="J9" i="2"/>
  <c r="J10" i="2" s="1"/>
  <c r="J11" i="2" s="1"/>
  <c r="J26" i="2"/>
  <c r="J12" i="2" l="1"/>
  <c r="J15" i="2" s="1"/>
  <c r="J16" i="2" s="1"/>
  <c r="J20" i="2" l="1"/>
  <c r="J28" i="2" s="1"/>
  <c r="J29" i="2" s="1"/>
  <c r="J35" i="2" s="1"/>
  <c r="J36" i="2" s="1"/>
  <c r="J17" i="2"/>
  <c r="J22" i="2" s="1"/>
  <c r="J31" i="2" s="1"/>
  <c r="J32" i="2" s="1"/>
  <c r="J37" i="2" l="1"/>
  <c r="J33" i="2"/>
  <c r="J45" i="2" l="1"/>
  <c r="J52" i="2" s="1"/>
  <c r="J53" i="2" s="1"/>
  <c r="J61" i="2" s="1"/>
  <c r="J67" i="2" s="1"/>
  <c r="J68" i="2" s="1"/>
  <c r="J69" i="2" s="1"/>
  <c r="J38" i="2"/>
  <c r="J39" i="2" l="1"/>
  <c r="J70" i="2"/>
  <c r="J71" i="2" s="1"/>
  <c r="J40" i="2" l="1"/>
  <c r="J41" i="2" l="1"/>
  <c r="J42" i="2" s="1"/>
  <c r="J47" i="2" l="1"/>
  <c r="J48" i="2" s="1"/>
  <c r="J43" i="2"/>
  <c r="J54" i="2" l="1"/>
  <c r="J49" i="2"/>
</calcChain>
</file>

<file path=xl/sharedStrings.xml><?xml version="1.0" encoding="utf-8"?>
<sst xmlns="http://schemas.openxmlformats.org/spreadsheetml/2006/main" count="5633" uniqueCount="75">
  <si>
    <t>Type</t>
  </si>
  <si>
    <t>Make</t>
  </si>
  <si>
    <t>Year</t>
  </si>
  <si>
    <t>Model</t>
  </si>
  <si>
    <t>Reliability_Durability</t>
  </si>
  <si>
    <t>Transmission</t>
  </si>
  <si>
    <t>Fuel</t>
  </si>
  <si>
    <t>Horsepower</t>
  </si>
  <si>
    <t>Mileage</t>
  </si>
  <si>
    <t>Price</t>
  </si>
  <si>
    <t>Zipcode</t>
  </si>
  <si>
    <t>State</t>
  </si>
  <si>
    <t>Sedan</t>
  </si>
  <si>
    <t>Ford</t>
  </si>
  <si>
    <t>Regular/Medium</t>
  </si>
  <si>
    <t>Auto</t>
  </si>
  <si>
    <t>Gasoline</t>
  </si>
  <si>
    <t>30/40</t>
  </si>
  <si>
    <t>VA</t>
  </si>
  <si>
    <t>Coupe</t>
  </si>
  <si>
    <t>21/32</t>
  </si>
  <si>
    <t>SUV</t>
  </si>
  <si>
    <t>22/34</t>
  </si>
  <si>
    <t>Hatchback</t>
  </si>
  <si>
    <t>Low</t>
  </si>
  <si>
    <t>31/42</t>
  </si>
  <si>
    <t>Chevrolet</t>
  </si>
  <si>
    <t>22/30</t>
  </si>
  <si>
    <t>22/31</t>
  </si>
  <si>
    <t>16/23</t>
  </si>
  <si>
    <t>28/37</t>
  </si>
  <si>
    <t>BMW</t>
  </si>
  <si>
    <t>High</t>
  </si>
  <si>
    <t>31/43</t>
  </si>
  <si>
    <t>Manual</t>
  </si>
  <si>
    <t>24/34</t>
  </si>
  <si>
    <t>21/29</t>
  </si>
  <si>
    <t>Audi</t>
  </si>
  <si>
    <t>27/37</t>
  </si>
  <si>
    <t>23/27</t>
  </si>
  <si>
    <t>20/28</t>
  </si>
  <si>
    <t>Hyundai</t>
  </si>
  <si>
    <t>18/29</t>
  </si>
  <si>
    <t>18/25</t>
  </si>
  <si>
    <t>28/38</t>
  </si>
  <si>
    <t>Lexus</t>
  </si>
  <si>
    <t>22/32</t>
  </si>
  <si>
    <t>20/27</t>
  </si>
  <si>
    <t>43/40</t>
  </si>
  <si>
    <t>PA</t>
  </si>
  <si>
    <t>MD</t>
  </si>
  <si>
    <t>DC</t>
  </si>
  <si>
    <t>Ford Focus</t>
  </si>
  <si>
    <t>Ford Mustang</t>
  </si>
  <si>
    <t>Ford Edge</t>
  </si>
  <si>
    <t>Chevrolet Impala</t>
  </si>
  <si>
    <t>Chevrolet Camaro</t>
  </si>
  <si>
    <t>Chevrolet Suburban</t>
  </si>
  <si>
    <t>Chevrolet Sonic</t>
  </si>
  <si>
    <t>BMW 3 Series</t>
  </si>
  <si>
    <t>BMW 5 Series</t>
  </si>
  <si>
    <t>BMW 7 Series</t>
  </si>
  <si>
    <t>Audi A4</t>
  </si>
  <si>
    <t>Audi A5</t>
  </si>
  <si>
    <t>Audi Q5</t>
  </si>
  <si>
    <t>Audi Q3</t>
  </si>
  <si>
    <t>Hyundai Sonata</t>
  </si>
  <si>
    <t>Hyundai Genesis</t>
  </si>
  <si>
    <t>Hyundai Sante Fe</t>
  </si>
  <si>
    <t>Hyundai Accent</t>
  </si>
  <si>
    <t>Lexus IS350</t>
  </si>
  <si>
    <t>Lexus RC</t>
  </si>
  <si>
    <t>Lexus RX350</t>
  </si>
  <si>
    <t>Lexus CT</t>
  </si>
  <si>
    <t>Vehicle Recommendation 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</si>
</sst>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2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164" fontId="0" fillId="2" borderId="12" xfId="0" applyNumberFormat="1" applyFill="1" applyBorder="1" applyAlignment="1">
      <alignment horizontal="center"/>
    </xf>
    <xf numFmtId="164" fontId="0" fillId="3" borderId="13" xfId="0" applyNumberFormat="1" applyFill="1" applyBorder="1" applyAlignment="1">
      <alignment horizontal="center"/>
    </xf>
    <xf numFmtId="0" fontId="2" fillId="0" borderId="0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292100</xdr:colOff>
          <xdr:row>4</xdr:row>
          <xdr:rowOff>63500</xdr:rowOff>
        </xdr:from>
        <xdr:to>
          <xdr:col>6</xdr:col>
          <xdr:colOff>342900</xdr:colOff>
          <xdr:row>9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a recommendation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10</xdr:row>
          <xdr:rowOff>38100</xdr:rowOff>
        </xdr:from>
        <xdr:to>
          <xdr:col>6</xdr:col>
          <xdr:colOff>279400</xdr:colOff>
          <xdr:row>12</xdr:row>
          <xdr:rowOff>127000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L369"/>
  <sheetViews>
    <sheetView workbookViewId="0">
      <selection activeCell="C37" sqref="C37:I37"/>
    </sheetView>
  </sheetViews>
  <sheetFormatPr baseColWidth="10" defaultColWidth="8.83203125" defaultRowHeight="15" x14ac:dyDescent="0.2"/>
  <cols>
    <col min="4" max="4" width="18.1640625" bestFit="1" customWidth="1"/>
    <col min="7" max="7" width="11.1640625" bestFit="1" customWidth="1"/>
    <col min="12" max="12" width="17.5" bestFit="1" customWidth="1"/>
  </cols>
  <sheetData>
    <row r="1" spans="1:12" x14ac:dyDescent="0.2">
      <c r="A1" s="1" t="s">
        <v>0</v>
      </c>
      <c r="B1" s="1" t="s">
        <v>1</v>
      </c>
      <c r="C1" s="1" t="s">
        <v>2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2" t="s">
        <v>9</v>
      </c>
      <c r="J1" s="1" t="s">
        <v>10</v>
      </c>
      <c r="K1" s="1" t="s">
        <v>11</v>
      </c>
      <c r="L1" s="1" t="s">
        <v>3</v>
      </c>
    </row>
    <row r="2" spans="1:12" hidden="1" x14ac:dyDescent="0.2">
      <c r="A2" t="s">
        <v>12</v>
      </c>
      <c r="B2" t="s">
        <v>13</v>
      </c>
      <c r="C2">
        <v>2015</v>
      </c>
      <c r="D2" t="s">
        <v>14</v>
      </c>
      <c r="E2" t="s">
        <v>15</v>
      </c>
      <c r="F2" t="s">
        <v>16</v>
      </c>
      <c r="G2">
        <v>177</v>
      </c>
      <c r="H2" t="s">
        <v>17</v>
      </c>
      <c r="I2" s="3">
        <v>17950</v>
      </c>
      <c r="J2">
        <v>22033</v>
      </c>
      <c r="K2" t="s">
        <v>18</v>
      </c>
      <c r="L2" t="s">
        <v>52</v>
      </c>
    </row>
    <row r="3" spans="1:12" hidden="1" x14ac:dyDescent="0.2">
      <c r="A3" t="s">
        <v>12</v>
      </c>
      <c r="B3" t="s">
        <v>13</v>
      </c>
      <c r="C3">
        <v>2016</v>
      </c>
      <c r="D3" t="s">
        <v>14</v>
      </c>
      <c r="E3" t="s">
        <v>15</v>
      </c>
      <c r="F3" t="s">
        <v>16</v>
      </c>
      <c r="G3">
        <v>177</v>
      </c>
      <c r="H3" t="s">
        <v>17</v>
      </c>
      <c r="I3" s="3">
        <f>I2*1.1</f>
        <v>19745</v>
      </c>
      <c r="J3">
        <v>22033</v>
      </c>
      <c r="K3" t="s">
        <v>18</v>
      </c>
      <c r="L3" t="s">
        <v>52</v>
      </c>
    </row>
    <row r="4" spans="1:12" hidden="1" x14ac:dyDescent="0.2">
      <c r="A4" t="s">
        <v>12</v>
      </c>
      <c r="B4" t="s">
        <v>13</v>
      </c>
      <c r="C4">
        <v>2017</v>
      </c>
      <c r="D4" t="s">
        <v>14</v>
      </c>
      <c r="E4" t="s">
        <v>15</v>
      </c>
      <c r="F4" t="s">
        <v>16</v>
      </c>
      <c r="G4">
        <v>177</v>
      </c>
      <c r="H4" t="s">
        <v>17</v>
      </c>
      <c r="I4" s="3">
        <f t="shared" ref="I4:I5" si="0">I3*1.1</f>
        <v>21719.5</v>
      </c>
      <c r="J4">
        <v>22033</v>
      </c>
      <c r="K4" t="s">
        <v>18</v>
      </c>
      <c r="L4" t="s">
        <v>52</v>
      </c>
    </row>
    <row r="5" spans="1:12" hidden="1" x14ac:dyDescent="0.2">
      <c r="A5" t="s">
        <v>12</v>
      </c>
      <c r="B5" t="s">
        <v>13</v>
      </c>
      <c r="C5">
        <v>2018</v>
      </c>
      <c r="D5" t="s">
        <v>14</v>
      </c>
      <c r="E5" t="s">
        <v>15</v>
      </c>
      <c r="F5" t="s">
        <v>16</v>
      </c>
      <c r="G5">
        <v>177</v>
      </c>
      <c r="H5" t="s">
        <v>17</v>
      </c>
      <c r="I5" s="3">
        <f t="shared" si="0"/>
        <v>23891.45</v>
      </c>
      <c r="J5">
        <v>22033</v>
      </c>
      <c r="K5" t="s">
        <v>18</v>
      </c>
      <c r="L5" t="s">
        <v>52</v>
      </c>
    </row>
    <row r="6" spans="1:12" hidden="1" x14ac:dyDescent="0.2">
      <c r="A6" t="s">
        <v>19</v>
      </c>
      <c r="B6" t="s">
        <v>13</v>
      </c>
      <c r="C6">
        <v>2015</v>
      </c>
      <c r="D6" t="s">
        <v>14</v>
      </c>
      <c r="E6" t="s">
        <v>15</v>
      </c>
      <c r="F6" t="s">
        <v>16</v>
      </c>
      <c r="G6">
        <v>350</v>
      </c>
      <c r="H6" t="s">
        <v>20</v>
      </c>
      <c r="I6" s="3">
        <v>25680</v>
      </c>
      <c r="J6">
        <v>22033</v>
      </c>
      <c r="K6" t="s">
        <v>18</v>
      </c>
      <c r="L6" t="s">
        <v>53</v>
      </c>
    </row>
    <row r="7" spans="1:12" hidden="1" x14ac:dyDescent="0.2">
      <c r="A7" t="s">
        <v>19</v>
      </c>
      <c r="B7" t="s">
        <v>13</v>
      </c>
      <c r="C7">
        <v>2016</v>
      </c>
      <c r="D7" t="s">
        <v>14</v>
      </c>
      <c r="E7" t="s">
        <v>15</v>
      </c>
      <c r="F7" t="s">
        <v>16</v>
      </c>
      <c r="G7">
        <v>350</v>
      </c>
      <c r="H7" t="s">
        <v>20</v>
      </c>
      <c r="I7" s="3">
        <f>I6*1.1</f>
        <v>28248.000000000004</v>
      </c>
      <c r="J7">
        <v>22033</v>
      </c>
      <c r="K7" t="s">
        <v>18</v>
      </c>
      <c r="L7" t="s">
        <v>53</v>
      </c>
    </row>
    <row r="8" spans="1:12" hidden="1" x14ac:dyDescent="0.2">
      <c r="A8" t="s">
        <v>19</v>
      </c>
      <c r="B8" t="s">
        <v>13</v>
      </c>
      <c r="C8">
        <v>2017</v>
      </c>
      <c r="D8" t="s">
        <v>14</v>
      </c>
      <c r="E8" t="s">
        <v>15</v>
      </c>
      <c r="F8" t="s">
        <v>16</v>
      </c>
      <c r="G8">
        <v>350</v>
      </c>
      <c r="H8" t="s">
        <v>20</v>
      </c>
      <c r="I8" s="3">
        <f t="shared" ref="I8" si="1">I7*1.1</f>
        <v>31072.800000000007</v>
      </c>
      <c r="J8">
        <v>22033</v>
      </c>
      <c r="K8" t="s">
        <v>18</v>
      </c>
      <c r="L8" t="s">
        <v>53</v>
      </c>
    </row>
    <row r="9" spans="1:12" hidden="1" x14ac:dyDescent="0.2">
      <c r="A9" t="s">
        <v>19</v>
      </c>
      <c r="B9" t="s">
        <v>13</v>
      </c>
      <c r="C9">
        <v>2018</v>
      </c>
      <c r="D9" t="s">
        <v>14</v>
      </c>
      <c r="E9" t="s">
        <v>15</v>
      </c>
      <c r="F9" t="s">
        <v>16</v>
      </c>
      <c r="G9">
        <v>350</v>
      </c>
      <c r="H9" t="s">
        <v>20</v>
      </c>
      <c r="I9" s="3">
        <f>I8*1.1</f>
        <v>34180.080000000009</v>
      </c>
      <c r="J9">
        <v>22033</v>
      </c>
      <c r="K9" t="s">
        <v>18</v>
      </c>
      <c r="L9" t="s">
        <v>53</v>
      </c>
    </row>
    <row r="10" spans="1:12" hidden="1" x14ac:dyDescent="0.2">
      <c r="A10" t="s">
        <v>21</v>
      </c>
      <c r="B10" t="s">
        <v>13</v>
      </c>
      <c r="C10">
        <v>2015</v>
      </c>
      <c r="D10" t="s">
        <v>14</v>
      </c>
      <c r="E10" t="s">
        <v>15</v>
      </c>
      <c r="F10" t="s">
        <v>16</v>
      </c>
      <c r="G10">
        <v>245</v>
      </c>
      <c r="H10" t="s">
        <v>22</v>
      </c>
      <c r="I10" s="3">
        <v>29315</v>
      </c>
      <c r="J10">
        <v>22033</v>
      </c>
      <c r="K10" t="s">
        <v>18</v>
      </c>
      <c r="L10" t="s">
        <v>54</v>
      </c>
    </row>
    <row r="11" spans="1:12" hidden="1" x14ac:dyDescent="0.2">
      <c r="A11" t="s">
        <v>21</v>
      </c>
      <c r="B11" t="s">
        <v>13</v>
      </c>
      <c r="C11">
        <v>2016</v>
      </c>
      <c r="D11" t="s">
        <v>14</v>
      </c>
      <c r="E11" t="s">
        <v>15</v>
      </c>
      <c r="F11" t="s">
        <v>16</v>
      </c>
      <c r="G11">
        <v>245</v>
      </c>
      <c r="H11" t="s">
        <v>22</v>
      </c>
      <c r="I11" s="3">
        <f>I10*1.1</f>
        <v>32246.500000000004</v>
      </c>
      <c r="J11">
        <v>22033</v>
      </c>
      <c r="K11" t="s">
        <v>18</v>
      </c>
      <c r="L11" t="s">
        <v>54</v>
      </c>
    </row>
    <row r="12" spans="1:12" hidden="1" x14ac:dyDescent="0.2">
      <c r="A12" t="s">
        <v>21</v>
      </c>
      <c r="B12" t="s">
        <v>13</v>
      </c>
      <c r="C12">
        <v>2017</v>
      </c>
      <c r="D12" t="s">
        <v>14</v>
      </c>
      <c r="E12" t="s">
        <v>15</v>
      </c>
      <c r="F12" t="s">
        <v>16</v>
      </c>
      <c r="G12">
        <v>245</v>
      </c>
      <c r="H12" t="s">
        <v>22</v>
      </c>
      <c r="I12" s="3">
        <f t="shared" ref="I12:I13" si="2">I11*1.1</f>
        <v>35471.150000000009</v>
      </c>
      <c r="J12">
        <v>22033</v>
      </c>
      <c r="K12" t="s">
        <v>18</v>
      </c>
      <c r="L12" t="s">
        <v>54</v>
      </c>
    </row>
    <row r="13" spans="1:12" hidden="1" x14ac:dyDescent="0.2">
      <c r="A13" t="s">
        <v>21</v>
      </c>
      <c r="B13" t="s">
        <v>13</v>
      </c>
      <c r="C13">
        <v>2018</v>
      </c>
      <c r="D13" t="s">
        <v>14</v>
      </c>
      <c r="E13" t="s">
        <v>15</v>
      </c>
      <c r="F13" t="s">
        <v>16</v>
      </c>
      <c r="G13">
        <v>245</v>
      </c>
      <c r="H13" t="s">
        <v>22</v>
      </c>
      <c r="I13" s="3">
        <f t="shared" si="2"/>
        <v>39018.265000000014</v>
      </c>
      <c r="J13">
        <v>22033</v>
      </c>
      <c r="K13" t="s">
        <v>18</v>
      </c>
      <c r="L13" t="s">
        <v>54</v>
      </c>
    </row>
    <row r="14" spans="1:12" hidden="1" x14ac:dyDescent="0.2">
      <c r="A14" t="s">
        <v>23</v>
      </c>
      <c r="B14" t="s">
        <v>13</v>
      </c>
      <c r="C14">
        <v>2015</v>
      </c>
      <c r="D14" t="s">
        <v>24</v>
      </c>
      <c r="E14" t="s">
        <v>15</v>
      </c>
      <c r="F14" t="s">
        <v>16</v>
      </c>
      <c r="G14">
        <v>185</v>
      </c>
      <c r="H14" t="s">
        <v>25</v>
      </c>
      <c r="I14" s="3">
        <v>17950</v>
      </c>
      <c r="J14">
        <v>22033</v>
      </c>
      <c r="K14" t="s">
        <v>18</v>
      </c>
      <c r="L14" t="s">
        <v>52</v>
      </c>
    </row>
    <row r="15" spans="1:12" hidden="1" x14ac:dyDescent="0.2">
      <c r="A15" t="s">
        <v>23</v>
      </c>
      <c r="B15" t="s">
        <v>13</v>
      </c>
      <c r="C15">
        <v>2016</v>
      </c>
      <c r="D15" t="s">
        <v>24</v>
      </c>
      <c r="E15" t="s">
        <v>15</v>
      </c>
      <c r="F15" t="s">
        <v>16</v>
      </c>
      <c r="G15">
        <v>185</v>
      </c>
      <c r="H15" t="s">
        <v>25</v>
      </c>
      <c r="I15" s="3">
        <f>I14*1.1</f>
        <v>19745</v>
      </c>
      <c r="J15">
        <v>22033</v>
      </c>
      <c r="K15" t="s">
        <v>18</v>
      </c>
      <c r="L15" t="s">
        <v>52</v>
      </c>
    </row>
    <row r="16" spans="1:12" hidden="1" x14ac:dyDescent="0.2">
      <c r="A16" t="s">
        <v>23</v>
      </c>
      <c r="B16" t="s">
        <v>13</v>
      </c>
      <c r="C16">
        <v>2017</v>
      </c>
      <c r="D16" t="s">
        <v>24</v>
      </c>
      <c r="E16" t="s">
        <v>15</v>
      </c>
      <c r="F16" t="s">
        <v>16</v>
      </c>
      <c r="G16">
        <v>185</v>
      </c>
      <c r="H16" t="s">
        <v>25</v>
      </c>
      <c r="I16" s="3">
        <f t="shared" ref="I16:I17" si="3">I15*1.1</f>
        <v>21719.5</v>
      </c>
      <c r="J16">
        <v>22033</v>
      </c>
      <c r="K16" t="s">
        <v>18</v>
      </c>
      <c r="L16" t="s">
        <v>52</v>
      </c>
    </row>
    <row r="17" spans="1:12" hidden="1" x14ac:dyDescent="0.2">
      <c r="A17" t="s">
        <v>23</v>
      </c>
      <c r="B17" t="s">
        <v>13</v>
      </c>
      <c r="C17">
        <v>2018</v>
      </c>
      <c r="D17" t="s">
        <v>24</v>
      </c>
      <c r="E17" t="s">
        <v>15</v>
      </c>
      <c r="F17" t="s">
        <v>16</v>
      </c>
      <c r="G17">
        <v>185</v>
      </c>
      <c r="H17" t="s">
        <v>25</v>
      </c>
      <c r="I17" s="3">
        <f t="shared" si="3"/>
        <v>23891.45</v>
      </c>
      <c r="J17">
        <v>22033</v>
      </c>
      <c r="K17" t="s">
        <v>18</v>
      </c>
      <c r="L17" t="s">
        <v>52</v>
      </c>
    </row>
    <row r="18" spans="1:12" hidden="1" x14ac:dyDescent="0.2">
      <c r="A18" t="s">
        <v>12</v>
      </c>
      <c r="B18" t="s">
        <v>26</v>
      </c>
      <c r="C18">
        <v>2015</v>
      </c>
      <c r="D18" t="s">
        <v>14</v>
      </c>
      <c r="E18" t="s">
        <v>15</v>
      </c>
      <c r="F18" t="s">
        <v>16</v>
      </c>
      <c r="G18">
        <v>266</v>
      </c>
      <c r="H18" t="s">
        <v>27</v>
      </c>
      <c r="I18" s="3">
        <v>27895</v>
      </c>
      <c r="J18">
        <v>22033</v>
      </c>
      <c r="K18" t="s">
        <v>18</v>
      </c>
      <c r="L18" t="s">
        <v>55</v>
      </c>
    </row>
    <row r="19" spans="1:12" hidden="1" x14ac:dyDescent="0.2">
      <c r="A19" t="s">
        <v>12</v>
      </c>
      <c r="B19" t="s">
        <v>26</v>
      </c>
      <c r="C19">
        <v>2016</v>
      </c>
      <c r="D19" t="s">
        <v>14</v>
      </c>
      <c r="E19" t="s">
        <v>15</v>
      </c>
      <c r="F19" t="s">
        <v>16</v>
      </c>
      <c r="G19">
        <v>266</v>
      </c>
      <c r="H19" t="s">
        <v>27</v>
      </c>
      <c r="I19" s="3">
        <f>I18*1.1</f>
        <v>30684.500000000004</v>
      </c>
      <c r="J19">
        <v>22033</v>
      </c>
      <c r="K19" t="s">
        <v>18</v>
      </c>
      <c r="L19" t="s">
        <v>55</v>
      </c>
    </row>
    <row r="20" spans="1:12" hidden="1" x14ac:dyDescent="0.2">
      <c r="A20" t="s">
        <v>12</v>
      </c>
      <c r="B20" t="s">
        <v>26</v>
      </c>
      <c r="C20">
        <v>2017</v>
      </c>
      <c r="D20" t="s">
        <v>14</v>
      </c>
      <c r="E20" t="s">
        <v>15</v>
      </c>
      <c r="F20" t="s">
        <v>16</v>
      </c>
      <c r="G20">
        <v>266</v>
      </c>
      <c r="H20" t="s">
        <v>27</v>
      </c>
      <c r="I20" s="3">
        <f t="shared" ref="I20:I21" si="4">I19*1.1</f>
        <v>33752.950000000004</v>
      </c>
      <c r="J20">
        <v>22033</v>
      </c>
      <c r="K20" t="s">
        <v>18</v>
      </c>
      <c r="L20" t="s">
        <v>55</v>
      </c>
    </row>
    <row r="21" spans="1:12" hidden="1" x14ac:dyDescent="0.2">
      <c r="A21" t="s">
        <v>12</v>
      </c>
      <c r="B21" t="s">
        <v>26</v>
      </c>
      <c r="C21">
        <v>2018</v>
      </c>
      <c r="D21" t="s">
        <v>14</v>
      </c>
      <c r="E21" t="s">
        <v>15</v>
      </c>
      <c r="F21" t="s">
        <v>16</v>
      </c>
      <c r="G21">
        <v>266</v>
      </c>
      <c r="H21" t="s">
        <v>27</v>
      </c>
      <c r="I21" s="3">
        <f t="shared" si="4"/>
        <v>37128.24500000001</v>
      </c>
      <c r="J21">
        <v>22033</v>
      </c>
      <c r="K21" t="s">
        <v>18</v>
      </c>
      <c r="L21" t="s">
        <v>55</v>
      </c>
    </row>
    <row r="22" spans="1:12" hidden="1" x14ac:dyDescent="0.2">
      <c r="A22" t="s">
        <v>19</v>
      </c>
      <c r="B22" t="s">
        <v>26</v>
      </c>
      <c r="C22">
        <v>2015</v>
      </c>
      <c r="D22" t="s">
        <v>14</v>
      </c>
      <c r="E22" t="s">
        <v>15</v>
      </c>
      <c r="F22" t="s">
        <v>16</v>
      </c>
      <c r="G22">
        <v>350</v>
      </c>
      <c r="H22" t="s">
        <v>28</v>
      </c>
      <c r="I22" s="3">
        <v>27000</v>
      </c>
      <c r="J22">
        <v>22033</v>
      </c>
      <c r="K22" t="s">
        <v>18</v>
      </c>
      <c r="L22" t="s">
        <v>56</v>
      </c>
    </row>
    <row r="23" spans="1:12" hidden="1" x14ac:dyDescent="0.2">
      <c r="A23" t="s">
        <v>19</v>
      </c>
      <c r="B23" t="s">
        <v>26</v>
      </c>
      <c r="C23">
        <v>2016</v>
      </c>
      <c r="D23" t="s">
        <v>14</v>
      </c>
      <c r="E23" t="s">
        <v>15</v>
      </c>
      <c r="F23" t="s">
        <v>16</v>
      </c>
      <c r="G23">
        <v>350</v>
      </c>
      <c r="H23" t="s">
        <v>28</v>
      </c>
      <c r="I23" s="3">
        <f>I22*1.05</f>
        <v>28350</v>
      </c>
      <c r="J23">
        <v>22033</v>
      </c>
      <c r="K23" t="s">
        <v>18</v>
      </c>
      <c r="L23" t="s">
        <v>56</v>
      </c>
    </row>
    <row r="24" spans="1:12" hidden="1" x14ac:dyDescent="0.2">
      <c r="A24" t="s">
        <v>19</v>
      </c>
      <c r="B24" t="s">
        <v>26</v>
      </c>
      <c r="C24">
        <v>2017</v>
      </c>
      <c r="D24" t="s">
        <v>14</v>
      </c>
      <c r="E24" t="s">
        <v>15</v>
      </c>
      <c r="F24" t="s">
        <v>16</v>
      </c>
      <c r="G24">
        <v>350</v>
      </c>
      <c r="H24" t="s">
        <v>28</v>
      </c>
      <c r="I24" s="3">
        <f t="shared" ref="I24:I25" si="5">I23*1.05</f>
        <v>29767.5</v>
      </c>
      <c r="J24">
        <v>22033</v>
      </c>
      <c r="K24" t="s">
        <v>18</v>
      </c>
      <c r="L24" t="s">
        <v>56</v>
      </c>
    </row>
    <row r="25" spans="1:12" hidden="1" x14ac:dyDescent="0.2">
      <c r="A25" t="s">
        <v>19</v>
      </c>
      <c r="B25" t="s">
        <v>26</v>
      </c>
      <c r="C25">
        <v>2018</v>
      </c>
      <c r="D25" t="s">
        <v>14</v>
      </c>
      <c r="E25" t="s">
        <v>15</v>
      </c>
      <c r="F25" t="s">
        <v>16</v>
      </c>
      <c r="G25">
        <v>350</v>
      </c>
      <c r="H25" t="s">
        <v>28</v>
      </c>
      <c r="I25" s="3">
        <f t="shared" si="5"/>
        <v>31255.875</v>
      </c>
      <c r="J25">
        <v>22033</v>
      </c>
      <c r="K25" t="s">
        <v>18</v>
      </c>
      <c r="L25" t="s">
        <v>56</v>
      </c>
    </row>
    <row r="26" spans="1:12" hidden="1" x14ac:dyDescent="0.2">
      <c r="A26" t="s">
        <v>21</v>
      </c>
      <c r="B26" t="s">
        <v>26</v>
      </c>
      <c r="C26">
        <v>2015</v>
      </c>
      <c r="D26" t="s">
        <v>14</v>
      </c>
      <c r="E26" t="s">
        <v>15</v>
      </c>
      <c r="F26" t="s">
        <v>16</v>
      </c>
      <c r="G26">
        <v>355</v>
      </c>
      <c r="H26" t="s">
        <v>29</v>
      </c>
      <c r="I26" s="3">
        <v>52000</v>
      </c>
      <c r="J26">
        <v>22033</v>
      </c>
      <c r="K26" t="s">
        <v>18</v>
      </c>
      <c r="L26" t="s">
        <v>57</v>
      </c>
    </row>
    <row r="27" spans="1:12" hidden="1" x14ac:dyDescent="0.2">
      <c r="A27" t="s">
        <v>21</v>
      </c>
      <c r="B27" t="s">
        <v>26</v>
      </c>
      <c r="C27">
        <v>2016</v>
      </c>
      <c r="D27" t="s">
        <v>14</v>
      </c>
      <c r="E27" t="s">
        <v>15</v>
      </c>
      <c r="F27" t="s">
        <v>16</v>
      </c>
      <c r="G27">
        <v>355</v>
      </c>
      <c r="H27" t="s">
        <v>29</v>
      </c>
      <c r="I27" s="3">
        <f>I26*1.1</f>
        <v>57200.000000000007</v>
      </c>
      <c r="J27">
        <v>22033</v>
      </c>
      <c r="K27" t="s">
        <v>18</v>
      </c>
      <c r="L27" t="s">
        <v>57</v>
      </c>
    </row>
    <row r="28" spans="1:12" hidden="1" x14ac:dyDescent="0.2">
      <c r="A28" t="s">
        <v>21</v>
      </c>
      <c r="B28" t="s">
        <v>26</v>
      </c>
      <c r="C28">
        <v>2017</v>
      </c>
      <c r="D28" t="s">
        <v>14</v>
      </c>
      <c r="E28" t="s">
        <v>15</v>
      </c>
      <c r="F28" t="s">
        <v>16</v>
      </c>
      <c r="G28">
        <v>355</v>
      </c>
      <c r="H28" t="s">
        <v>29</v>
      </c>
      <c r="I28" s="3">
        <f t="shared" ref="I28:I29" si="6">I27*1.1</f>
        <v>62920.000000000015</v>
      </c>
      <c r="J28">
        <v>22033</v>
      </c>
      <c r="K28" t="s">
        <v>18</v>
      </c>
      <c r="L28" t="s">
        <v>57</v>
      </c>
    </row>
    <row r="29" spans="1:12" hidden="1" x14ac:dyDescent="0.2">
      <c r="A29" t="s">
        <v>21</v>
      </c>
      <c r="B29" t="s">
        <v>26</v>
      </c>
      <c r="C29">
        <v>2018</v>
      </c>
      <c r="D29" t="s">
        <v>14</v>
      </c>
      <c r="E29" t="s">
        <v>15</v>
      </c>
      <c r="F29" t="s">
        <v>16</v>
      </c>
      <c r="G29">
        <v>355</v>
      </c>
      <c r="H29" t="s">
        <v>29</v>
      </c>
      <c r="I29" s="3">
        <f t="shared" si="6"/>
        <v>69212.000000000015</v>
      </c>
      <c r="J29">
        <v>22033</v>
      </c>
      <c r="K29" t="s">
        <v>18</v>
      </c>
      <c r="L29" t="s">
        <v>57</v>
      </c>
    </row>
    <row r="30" spans="1:12" hidden="1" x14ac:dyDescent="0.2">
      <c r="A30" t="s">
        <v>23</v>
      </c>
      <c r="B30" t="s">
        <v>26</v>
      </c>
      <c r="C30">
        <v>2015</v>
      </c>
      <c r="D30" t="s">
        <v>24</v>
      </c>
      <c r="E30" t="s">
        <v>15</v>
      </c>
      <c r="F30" t="s">
        <v>16</v>
      </c>
      <c r="G30">
        <v>138</v>
      </c>
      <c r="H30" t="s">
        <v>30</v>
      </c>
      <c r="I30" s="3">
        <v>15295</v>
      </c>
      <c r="J30">
        <v>22033</v>
      </c>
      <c r="K30" t="s">
        <v>18</v>
      </c>
      <c r="L30" t="s">
        <v>58</v>
      </c>
    </row>
    <row r="31" spans="1:12" hidden="1" x14ac:dyDescent="0.2">
      <c r="A31" t="s">
        <v>23</v>
      </c>
      <c r="B31" t="s">
        <v>26</v>
      </c>
      <c r="C31">
        <v>2016</v>
      </c>
      <c r="D31" t="s">
        <v>24</v>
      </c>
      <c r="E31" t="s">
        <v>15</v>
      </c>
      <c r="F31" t="s">
        <v>16</v>
      </c>
      <c r="G31">
        <v>138</v>
      </c>
      <c r="H31" t="s">
        <v>30</v>
      </c>
      <c r="I31" s="3">
        <f>I30*1.1</f>
        <v>16824.5</v>
      </c>
      <c r="J31">
        <v>22033</v>
      </c>
      <c r="K31" t="s">
        <v>18</v>
      </c>
      <c r="L31" t="s">
        <v>58</v>
      </c>
    </row>
    <row r="32" spans="1:12" hidden="1" x14ac:dyDescent="0.2">
      <c r="A32" t="s">
        <v>23</v>
      </c>
      <c r="B32" t="s">
        <v>26</v>
      </c>
      <c r="C32">
        <v>2017</v>
      </c>
      <c r="D32" t="s">
        <v>24</v>
      </c>
      <c r="E32" t="s">
        <v>15</v>
      </c>
      <c r="F32" t="s">
        <v>16</v>
      </c>
      <c r="G32">
        <v>138</v>
      </c>
      <c r="H32" t="s">
        <v>30</v>
      </c>
      <c r="I32" s="3">
        <f t="shared" ref="I32:I33" si="7">I31*1.1</f>
        <v>18506.95</v>
      </c>
      <c r="J32">
        <v>22033</v>
      </c>
      <c r="K32" t="s">
        <v>18</v>
      </c>
      <c r="L32" t="s">
        <v>58</v>
      </c>
    </row>
    <row r="33" spans="1:12" hidden="1" x14ac:dyDescent="0.2">
      <c r="A33" t="s">
        <v>23</v>
      </c>
      <c r="B33" t="s">
        <v>26</v>
      </c>
      <c r="C33">
        <v>2018</v>
      </c>
      <c r="D33" t="s">
        <v>24</v>
      </c>
      <c r="E33" t="s">
        <v>15</v>
      </c>
      <c r="F33" t="s">
        <v>16</v>
      </c>
      <c r="G33">
        <v>138</v>
      </c>
      <c r="H33" t="s">
        <v>30</v>
      </c>
      <c r="I33" s="3">
        <f t="shared" si="7"/>
        <v>20357.645000000004</v>
      </c>
      <c r="J33">
        <v>22033</v>
      </c>
      <c r="K33" t="s">
        <v>18</v>
      </c>
      <c r="L33" t="s">
        <v>58</v>
      </c>
    </row>
    <row r="34" spans="1:12" x14ac:dyDescent="0.2">
      <c r="A34" t="s">
        <v>12</v>
      </c>
      <c r="B34" t="s">
        <v>31</v>
      </c>
      <c r="C34">
        <v>2015</v>
      </c>
      <c r="D34" t="s">
        <v>32</v>
      </c>
      <c r="E34" t="s">
        <v>15</v>
      </c>
      <c r="F34" t="s">
        <v>16</v>
      </c>
      <c r="G34">
        <v>290</v>
      </c>
      <c r="H34" t="s">
        <v>33</v>
      </c>
      <c r="I34" s="3">
        <v>34900</v>
      </c>
      <c r="J34">
        <v>22033</v>
      </c>
      <c r="K34" t="s">
        <v>18</v>
      </c>
      <c r="L34" t="s">
        <v>59</v>
      </c>
    </row>
    <row r="35" spans="1:12" x14ac:dyDescent="0.2">
      <c r="A35" t="s">
        <v>12</v>
      </c>
      <c r="B35" t="s">
        <v>31</v>
      </c>
      <c r="C35">
        <v>2016</v>
      </c>
      <c r="D35" t="s">
        <v>32</v>
      </c>
      <c r="E35" t="s">
        <v>15</v>
      </c>
      <c r="F35" t="s">
        <v>16</v>
      </c>
      <c r="G35">
        <v>290</v>
      </c>
      <c r="H35" t="s">
        <v>33</v>
      </c>
      <c r="I35" s="3">
        <f>34900*1.1</f>
        <v>38390</v>
      </c>
      <c r="J35">
        <v>22033</v>
      </c>
      <c r="K35" t="s">
        <v>18</v>
      </c>
      <c r="L35" t="s">
        <v>59</v>
      </c>
    </row>
    <row r="36" spans="1:12" x14ac:dyDescent="0.2">
      <c r="A36" t="s">
        <v>12</v>
      </c>
      <c r="B36" t="s">
        <v>31</v>
      </c>
      <c r="C36">
        <v>2017</v>
      </c>
      <c r="D36" t="s">
        <v>32</v>
      </c>
      <c r="E36" t="s">
        <v>15</v>
      </c>
      <c r="F36" t="s">
        <v>16</v>
      </c>
      <c r="G36">
        <v>290</v>
      </c>
      <c r="H36" t="s">
        <v>33</v>
      </c>
      <c r="I36" s="3">
        <f t="shared" ref="I36:I37" si="8">34900*1.1</f>
        <v>38390</v>
      </c>
      <c r="J36">
        <v>22033</v>
      </c>
      <c r="K36" t="s">
        <v>18</v>
      </c>
      <c r="L36" t="s">
        <v>59</v>
      </c>
    </row>
    <row r="37" spans="1:12" x14ac:dyDescent="0.2">
      <c r="A37" t="s">
        <v>12</v>
      </c>
      <c r="B37" t="s">
        <v>31</v>
      </c>
      <c r="C37">
        <v>2018</v>
      </c>
      <c r="D37" t="s">
        <v>32</v>
      </c>
      <c r="E37" t="s">
        <v>15</v>
      </c>
      <c r="F37" t="s">
        <v>16</v>
      </c>
      <c r="G37">
        <v>290</v>
      </c>
      <c r="H37" t="s">
        <v>33</v>
      </c>
      <c r="I37" s="3">
        <f t="shared" si="8"/>
        <v>38390</v>
      </c>
      <c r="J37">
        <v>22033</v>
      </c>
      <c r="K37" t="s">
        <v>18</v>
      </c>
      <c r="L37" t="s">
        <v>59</v>
      </c>
    </row>
    <row r="38" spans="1:12" x14ac:dyDescent="0.2">
      <c r="A38" t="s">
        <v>12</v>
      </c>
      <c r="B38" t="s">
        <v>31</v>
      </c>
      <c r="C38">
        <v>2015</v>
      </c>
      <c r="D38" t="s">
        <v>32</v>
      </c>
      <c r="E38" t="s">
        <v>34</v>
      </c>
      <c r="F38" t="s">
        <v>16</v>
      </c>
      <c r="G38">
        <v>335</v>
      </c>
      <c r="H38" t="s">
        <v>35</v>
      </c>
      <c r="I38" s="3">
        <v>52650</v>
      </c>
      <c r="J38">
        <v>22033</v>
      </c>
      <c r="K38" t="s">
        <v>18</v>
      </c>
      <c r="L38" t="s">
        <v>60</v>
      </c>
    </row>
    <row r="39" spans="1:12" x14ac:dyDescent="0.2">
      <c r="A39" t="s">
        <v>12</v>
      </c>
      <c r="B39" t="s">
        <v>31</v>
      </c>
      <c r="C39">
        <v>2016</v>
      </c>
      <c r="D39" t="s">
        <v>32</v>
      </c>
      <c r="E39" t="s">
        <v>34</v>
      </c>
      <c r="F39" t="s">
        <v>16</v>
      </c>
      <c r="G39">
        <v>335</v>
      </c>
      <c r="H39" t="s">
        <v>35</v>
      </c>
      <c r="I39" s="3">
        <f>52650*1.1</f>
        <v>57915.000000000007</v>
      </c>
      <c r="J39">
        <v>22033</v>
      </c>
      <c r="K39" t="s">
        <v>18</v>
      </c>
      <c r="L39" t="s">
        <v>60</v>
      </c>
    </row>
    <row r="40" spans="1:12" x14ac:dyDescent="0.2">
      <c r="A40" t="s">
        <v>12</v>
      </c>
      <c r="B40" t="s">
        <v>31</v>
      </c>
      <c r="C40">
        <v>2017</v>
      </c>
      <c r="D40" t="s">
        <v>32</v>
      </c>
      <c r="E40" t="s">
        <v>34</v>
      </c>
      <c r="F40" t="s">
        <v>16</v>
      </c>
      <c r="G40">
        <v>335</v>
      </c>
      <c r="H40" t="s">
        <v>35</v>
      </c>
      <c r="I40" s="3">
        <f t="shared" ref="I40:I41" si="9">52650*1.1</f>
        <v>57915.000000000007</v>
      </c>
      <c r="J40">
        <v>22033</v>
      </c>
      <c r="K40" t="s">
        <v>18</v>
      </c>
      <c r="L40" t="s">
        <v>60</v>
      </c>
    </row>
    <row r="41" spans="1:12" x14ac:dyDescent="0.2">
      <c r="A41" t="s">
        <v>12</v>
      </c>
      <c r="B41" t="s">
        <v>31</v>
      </c>
      <c r="C41">
        <v>2018</v>
      </c>
      <c r="D41" t="s">
        <v>32</v>
      </c>
      <c r="E41" t="s">
        <v>34</v>
      </c>
      <c r="F41" t="s">
        <v>16</v>
      </c>
      <c r="G41">
        <v>335</v>
      </c>
      <c r="H41" t="s">
        <v>35</v>
      </c>
      <c r="I41" s="3">
        <f t="shared" si="9"/>
        <v>57915.000000000007</v>
      </c>
      <c r="J41">
        <v>22033</v>
      </c>
      <c r="K41" t="s">
        <v>18</v>
      </c>
      <c r="L41" t="s">
        <v>60</v>
      </c>
    </row>
    <row r="42" spans="1:12" x14ac:dyDescent="0.2">
      <c r="A42" t="s">
        <v>12</v>
      </c>
      <c r="B42" t="s">
        <v>31</v>
      </c>
      <c r="C42">
        <v>2015</v>
      </c>
      <c r="D42" t="s">
        <v>32</v>
      </c>
      <c r="E42" t="s">
        <v>34</v>
      </c>
      <c r="F42" t="s">
        <v>16</v>
      </c>
      <c r="G42">
        <v>420</v>
      </c>
      <c r="H42" t="s">
        <v>36</v>
      </c>
      <c r="I42" s="3">
        <v>83650</v>
      </c>
      <c r="J42">
        <v>22033</v>
      </c>
      <c r="K42" t="s">
        <v>18</v>
      </c>
      <c r="L42" t="s">
        <v>61</v>
      </c>
    </row>
    <row r="43" spans="1:12" x14ac:dyDescent="0.2">
      <c r="A43" t="s">
        <v>12</v>
      </c>
      <c r="B43" t="s">
        <v>31</v>
      </c>
      <c r="C43">
        <v>2016</v>
      </c>
      <c r="D43" t="s">
        <v>32</v>
      </c>
      <c r="E43" t="s">
        <v>34</v>
      </c>
      <c r="F43" t="s">
        <v>16</v>
      </c>
      <c r="G43">
        <v>420</v>
      </c>
      <c r="H43" t="s">
        <v>36</v>
      </c>
      <c r="I43" s="3">
        <f>83650*1.1</f>
        <v>92015.000000000015</v>
      </c>
      <c r="J43">
        <v>22033</v>
      </c>
      <c r="K43" t="s">
        <v>18</v>
      </c>
      <c r="L43" t="s">
        <v>61</v>
      </c>
    </row>
    <row r="44" spans="1:12" x14ac:dyDescent="0.2">
      <c r="A44" t="s">
        <v>12</v>
      </c>
      <c r="B44" t="s">
        <v>31</v>
      </c>
      <c r="C44">
        <v>2017</v>
      </c>
      <c r="D44" t="s">
        <v>32</v>
      </c>
      <c r="E44" t="s">
        <v>34</v>
      </c>
      <c r="F44" t="s">
        <v>16</v>
      </c>
      <c r="G44">
        <v>420</v>
      </c>
      <c r="H44" t="s">
        <v>36</v>
      </c>
      <c r="I44" s="3">
        <f t="shared" ref="I44:I45" si="10">83650*1.1</f>
        <v>92015.000000000015</v>
      </c>
      <c r="J44">
        <v>22033</v>
      </c>
      <c r="K44" t="s">
        <v>18</v>
      </c>
      <c r="L44" t="s">
        <v>61</v>
      </c>
    </row>
    <row r="45" spans="1:12" x14ac:dyDescent="0.2">
      <c r="A45" t="s">
        <v>12</v>
      </c>
      <c r="B45" t="s">
        <v>31</v>
      </c>
      <c r="C45">
        <v>2018</v>
      </c>
      <c r="D45" t="s">
        <v>32</v>
      </c>
      <c r="E45" t="s">
        <v>34</v>
      </c>
      <c r="F45" t="s">
        <v>16</v>
      </c>
      <c r="G45">
        <v>420</v>
      </c>
      <c r="H45" t="s">
        <v>36</v>
      </c>
      <c r="I45" s="3">
        <f t="shared" si="10"/>
        <v>92015.000000000015</v>
      </c>
      <c r="J45">
        <v>22033</v>
      </c>
      <c r="K45" t="s">
        <v>18</v>
      </c>
      <c r="L45" t="s">
        <v>61</v>
      </c>
    </row>
    <row r="46" spans="1:12" hidden="1" x14ac:dyDescent="0.2">
      <c r="A46" t="s">
        <v>12</v>
      </c>
      <c r="B46" t="s">
        <v>37</v>
      </c>
      <c r="C46">
        <v>2015</v>
      </c>
      <c r="D46" t="s">
        <v>32</v>
      </c>
      <c r="E46" t="s">
        <v>15</v>
      </c>
      <c r="F46" t="s">
        <v>16</v>
      </c>
      <c r="G46">
        <v>190</v>
      </c>
      <c r="H46" t="s">
        <v>38</v>
      </c>
      <c r="I46" s="3">
        <v>36000</v>
      </c>
      <c r="J46">
        <v>22033</v>
      </c>
      <c r="K46" t="s">
        <v>18</v>
      </c>
      <c r="L46" t="s">
        <v>62</v>
      </c>
    </row>
    <row r="47" spans="1:12" hidden="1" x14ac:dyDescent="0.2">
      <c r="A47" t="s">
        <v>12</v>
      </c>
      <c r="B47" t="s">
        <v>37</v>
      </c>
      <c r="C47">
        <v>2016</v>
      </c>
      <c r="D47" t="s">
        <v>32</v>
      </c>
      <c r="E47" t="s">
        <v>15</v>
      </c>
      <c r="F47" t="s">
        <v>16</v>
      </c>
      <c r="G47">
        <v>190</v>
      </c>
      <c r="H47" t="s">
        <v>38</v>
      </c>
      <c r="I47" s="3">
        <f>I46*1.1</f>
        <v>39600</v>
      </c>
      <c r="J47">
        <v>22033</v>
      </c>
      <c r="K47" t="s">
        <v>18</v>
      </c>
      <c r="L47" t="s">
        <v>62</v>
      </c>
    </row>
    <row r="48" spans="1:12" hidden="1" x14ac:dyDescent="0.2">
      <c r="A48" t="s">
        <v>12</v>
      </c>
      <c r="B48" t="s">
        <v>37</v>
      </c>
      <c r="C48">
        <v>2017</v>
      </c>
      <c r="D48" t="s">
        <v>32</v>
      </c>
      <c r="E48" t="s">
        <v>15</v>
      </c>
      <c r="F48" t="s">
        <v>16</v>
      </c>
      <c r="G48">
        <v>190</v>
      </c>
      <c r="H48" t="s">
        <v>38</v>
      </c>
      <c r="I48" s="3">
        <f t="shared" ref="I48:I49" si="11">I47*1.1</f>
        <v>43560</v>
      </c>
      <c r="J48">
        <v>22033</v>
      </c>
      <c r="K48" t="s">
        <v>18</v>
      </c>
      <c r="L48" t="s">
        <v>62</v>
      </c>
    </row>
    <row r="49" spans="1:12" hidden="1" x14ac:dyDescent="0.2">
      <c r="A49" t="s">
        <v>12</v>
      </c>
      <c r="B49" t="s">
        <v>37</v>
      </c>
      <c r="C49">
        <v>2018</v>
      </c>
      <c r="D49" t="s">
        <v>32</v>
      </c>
      <c r="E49" t="s">
        <v>15</v>
      </c>
      <c r="F49" t="s">
        <v>16</v>
      </c>
      <c r="G49">
        <v>190</v>
      </c>
      <c r="H49" t="s">
        <v>38</v>
      </c>
      <c r="I49" s="3">
        <f t="shared" si="11"/>
        <v>47916.000000000007</v>
      </c>
      <c r="J49">
        <v>22033</v>
      </c>
      <c r="K49" t="s">
        <v>18</v>
      </c>
      <c r="L49" t="s">
        <v>62</v>
      </c>
    </row>
    <row r="50" spans="1:12" hidden="1" x14ac:dyDescent="0.2">
      <c r="A50" t="s">
        <v>19</v>
      </c>
      <c r="B50" t="s">
        <v>37</v>
      </c>
      <c r="C50">
        <v>2015</v>
      </c>
      <c r="D50" t="s">
        <v>32</v>
      </c>
      <c r="E50" t="s">
        <v>15</v>
      </c>
      <c r="F50" t="s">
        <v>16</v>
      </c>
      <c r="G50">
        <v>252</v>
      </c>
      <c r="H50" t="s">
        <v>35</v>
      </c>
      <c r="I50" s="3">
        <v>42600</v>
      </c>
      <c r="J50">
        <v>22033</v>
      </c>
      <c r="K50" t="s">
        <v>18</v>
      </c>
      <c r="L50" t="s">
        <v>63</v>
      </c>
    </row>
    <row r="51" spans="1:12" hidden="1" x14ac:dyDescent="0.2">
      <c r="A51" t="s">
        <v>19</v>
      </c>
      <c r="B51" t="s">
        <v>37</v>
      </c>
      <c r="C51">
        <v>2016</v>
      </c>
      <c r="D51" t="s">
        <v>32</v>
      </c>
      <c r="E51" t="s">
        <v>15</v>
      </c>
      <c r="F51" t="s">
        <v>16</v>
      </c>
      <c r="G51">
        <v>252</v>
      </c>
      <c r="H51" t="s">
        <v>35</v>
      </c>
      <c r="I51" s="3">
        <f>42600*1.1</f>
        <v>46860.000000000007</v>
      </c>
      <c r="J51">
        <v>22033</v>
      </c>
      <c r="K51" t="s">
        <v>18</v>
      </c>
      <c r="L51" t="s">
        <v>63</v>
      </c>
    </row>
    <row r="52" spans="1:12" hidden="1" x14ac:dyDescent="0.2">
      <c r="A52" t="s">
        <v>19</v>
      </c>
      <c r="B52" t="s">
        <v>37</v>
      </c>
      <c r="C52">
        <v>2017</v>
      </c>
      <c r="D52" t="s">
        <v>32</v>
      </c>
      <c r="E52" t="s">
        <v>15</v>
      </c>
      <c r="F52" t="s">
        <v>16</v>
      </c>
      <c r="G52">
        <v>252</v>
      </c>
      <c r="H52" t="s">
        <v>35</v>
      </c>
      <c r="I52" s="3">
        <f t="shared" ref="I52:I53" si="12">42600*1.1</f>
        <v>46860.000000000007</v>
      </c>
      <c r="J52">
        <v>22033</v>
      </c>
      <c r="K52" t="s">
        <v>18</v>
      </c>
      <c r="L52" t="s">
        <v>63</v>
      </c>
    </row>
    <row r="53" spans="1:12" hidden="1" x14ac:dyDescent="0.2">
      <c r="A53" t="s">
        <v>19</v>
      </c>
      <c r="B53" t="s">
        <v>37</v>
      </c>
      <c r="C53">
        <v>2018</v>
      </c>
      <c r="D53" t="s">
        <v>32</v>
      </c>
      <c r="E53" t="s">
        <v>15</v>
      </c>
      <c r="F53" t="s">
        <v>16</v>
      </c>
      <c r="G53">
        <v>252</v>
      </c>
      <c r="H53" t="s">
        <v>35</v>
      </c>
      <c r="I53" s="3">
        <f t="shared" si="12"/>
        <v>46860.000000000007</v>
      </c>
      <c r="J53">
        <v>22033</v>
      </c>
      <c r="K53" t="s">
        <v>18</v>
      </c>
      <c r="L53" t="s">
        <v>63</v>
      </c>
    </row>
    <row r="54" spans="1:12" hidden="1" x14ac:dyDescent="0.2">
      <c r="A54" t="s">
        <v>21</v>
      </c>
      <c r="B54" t="s">
        <v>37</v>
      </c>
      <c r="C54">
        <v>2015</v>
      </c>
      <c r="D54" t="s">
        <v>32</v>
      </c>
      <c r="E54" t="s">
        <v>15</v>
      </c>
      <c r="F54" t="s">
        <v>16</v>
      </c>
      <c r="G54">
        <v>252</v>
      </c>
      <c r="H54" t="s">
        <v>39</v>
      </c>
      <c r="I54" s="3">
        <v>41500</v>
      </c>
      <c r="J54">
        <v>22033</v>
      </c>
      <c r="K54" t="s">
        <v>18</v>
      </c>
      <c r="L54" t="s">
        <v>64</v>
      </c>
    </row>
    <row r="55" spans="1:12" hidden="1" x14ac:dyDescent="0.2">
      <c r="A55" t="s">
        <v>21</v>
      </c>
      <c r="B55" t="s">
        <v>37</v>
      </c>
      <c r="C55">
        <v>2016</v>
      </c>
      <c r="D55" t="s">
        <v>32</v>
      </c>
      <c r="E55" t="s">
        <v>15</v>
      </c>
      <c r="F55" t="s">
        <v>16</v>
      </c>
      <c r="G55">
        <v>252</v>
      </c>
      <c r="H55" t="s">
        <v>39</v>
      </c>
      <c r="I55" s="3">
        <f>41500*1.1</f>
        <v>45650.000000000007</v>
      </c>
      <c r="J55">
        <v>22033</v>
      </c>
      <c r="K55" t="s">
        <v>18</v>
      </c>
      <c r="L55" t="s">
        <v>64</v>
      </c>
    </row>
    <row r="56" spans="1:12" hidden="1" x14ac:dyDescent="0.2">
      <c r="A56" t="s">
        <v>21</v>
      </c>
      <c r="B56" t="s">
        <v>37</v>
      </c>
      <c r="C56">
        <v>2017</v>
      </c>
      <c r="D56" t="s">
        <v>32</v>
      </c>
      <c r="E56" t="s">
        <v>15</v>
      </c>
      <c r="F56" t="s">
        <v>16</v>
      </c>
      <c r="G56">
        <v>252</v>
      </c>
      <c r="H56" t="s">
        <v>39</v>
      </c>
      <c r="I56" s="3">
        <f t="shared" ref="I56:I57" si="13">41500*1.1</f>
        <v>45650.000000000007</v>
      </c>
      <c r="J56">
        <v>22033</v>
      </c>
      <c r="K56" t="s">
        <v>18</v>
      </c>
      <c r="L56" t="s">
        <v>64</v>
      </c>
    </row>
    <row r="57" spans="1:12" hidden="1" x14ac:dyDescent="0.2">
      <c r="A57" t="s">
        <v>21</v>
      </c>
      <c r="B57" t="s">
        <v>37</v>
      </c>
      <c r="C57">
        <v>2018</v>
      </c>
      <c r="D57" t="s">
        <v>32</v>
      </c>
      <c r="E57" t="s">
        <v>15</v>
      </c>
      <c r="F57" t="s">
        <v>16</v>
      </c>
      <c r="G57">
        <v>252</v>
      </c>
      <c r="H57" t="s">
        <v>39</v>
      </c>
      <c r="I57" s="3">
        <f t="shared" si="13"/>
        <v>45650.000000000007</v>
      </c>
      <c r="J57">
        <v>22033</v>
      </c>
      <c r="K57" t="s">
        <v>18</v>
      </c>
      <c r="L57" t="s">
        <v>64</v>
      </c>
    </row>
    <row r="58" spans="1:12" hidden="1" x14ac:dyDescent="0.2">
      <c r="A58" t="s">
        <v>21</v>
      </c>
      <c r="B58" t="s">
        <v>37</v>
      </c>
      <c r="C58">
        <v>2015</v>
      </c>
      <c r="D58" t="s">
        <v>24</v>
      </c>
      <c r="E58" t="s">
        <v>15</v>
      </c>
      <c r="F58" t="s">
        <v>16</v>
      </c>
      <c r="G58">
        <v>200</v>
      </c>
      <c r="H58" t="s">
        <v>40</v>
      </c>
      <c r="I58" s="3">
        <v>30000</v>
      </c>
      <c r="J58">
        <v>22033</v>
      </c>
      <c r="K58" t="s">
        <v>18</v>
      </c>
      <c r="L58" t="s">
        <v>65</v>
      </c>
    </row>
    <row r="59" spans="1:12" hidden="1" x14ac:dyDescent="0.2">
      <c r="A59" t="s">
        <v>21</v>
      </c>
      <c r="B59" t="s">
        <v>37</v>
      </c>
      <c r="C59">
        <v>2016</v>
      </c>
      <c r="D59" t="s">
        <v>24</v>
      </c>
      <c r="E59" t="s">
        <v>15</v>
      </c>
      <c r="F59" t="s">
        <v>16</v>
      </c>
      <c r="G59">
        <v>200</v>
      </c>
      <c r="H59" t="s">
        <v>40</v>
      </c>
      <c r="I59" s="3">
        <f>I58*1.1</f>
        <v>33000</v>
      </c>
      <c r="J59">
        <v>22033</v>
      </c>
      <c r="K59" t="s">
        <v>18</v>
      </c>
      <c r="L59" t="s">
        <v>65</v>
      </c>
    </row>
    <row r="60" spans="1:12" hidden="1" x14ac:dyDescent="0.2">
      <c r="A60" t="s">
        <v>21</v>
      </c>
      <c r="B60" t="s">
        <v>37</v>
      </c>
      <c r="C60">
        <v>2017</v>
      </c>
      <c r="D60" t="s">
        <v>24</v>
      </c>
      <c r="E60" t="s">
        <v>15</v>
      </c>
      <c r="F60" t="s">
        <v>16</v>
      </c>
      <c r="G60">
        <v>200</v>
      </c>
      <c r="H60" t="s">
        <v>40</v>
      </c>
      <c r="I60" s="3">
        <f t="shared" ref="I60:I61" si="14">I59*1.1</f>
        <v>36300</v>
      </c>
      <c r="J60">
        <v>22033</v>
      </c>
      <c r="K60" t="s">
        <v>18</v>
      </c>
      <c r="L60" t="s">
        <v>65</v>
      </c>
    </row>
    <row r="61" spans="1:12" hidden="1" x14ac:dyDescent="0.2">
      <c r="A61" t="s">
        <v>21</v>
      </c>
      <c r="B61" t="s">
        <v>37</v>
      </c>
      <c r="C61">
        <v>2018</v>
      </c>
      <c r="D61" t="s">
        <v>24</v>
      </c>
      <c r="E61" t="s">
        <v>15</v>
      </c>
      <c r="F61" t="s">
        <v>16</v>
      </c>
      <c r="G61">
        <v>200</v>
      </c>
      <c r="H61" t="s">
        <v>40</v>
      </c>
      <c r="I61" s="3">
        <f t="shared" si="14"/>
        <v>39930</v>
      </c>
      <c r="J61">
        <v>22033</v>
      </c>
      <c r="K61" t="s">
        <v>18</v>
      </c>
      <c r="L61" t="s">
        <v>65</v>
      </c>
    </row>
    <row r="62" spans="1:12" hidden="1" x14ac:dyDescent="0.2">
      <c r="A62" t="s">
        <v>12</v>
      </c>
      <c r="B62" t="s">
        <v>41</v>
      </c>
      <c r="C62">
        <v>2015</v>
      </c>
      <c r="D62" t="s">
        <v>14</v>
      </c>
      <c r="E62" t="s">
        <v>15</v>
      </c>
      <c r="F62" t="s">
        <v>16</v>
      </c>
      <c r="G62">
        <v>240</v>
      </c>
      <c r="H62" t="s">
        <v>30</v>
      </c>
      <c r="I62" s="3">
        <v>22050</v>
      </c>
      <c r="J62">
        <v>22033</v>
      </c>
      <c r="K62" t="s">
        <v>18</v>
      </c>
      <c r="L62" t="s">
        <v>66</v>
      </c>
    </row>
    <row r="63" spans="1:12" hidden="1" x14ac:dyDescent="0.2">
      <c r="A63" t="s">
        <v>12</v>
      </c>
      <c r="B63" t="s">
        <v>41</v>
      </c>
      <c r="C63">
        <v>2016</v>
      </c>
      <c r="D63" t="s">
        <v>14</v>
      </c>
      <c r="E63" t="s">
        <v>15</v>
      </c>
      <c r="F63" t="s">
        <v>16</v>
      </c>
      <c r="G63">
        <v>240</v>
      </c>
      <c r="H63" t="s">
        <v>30</v>
      </c>
      <c r="I63" s="3">
        <f>I62*1.1</f>
        <v>24255.000000000004</v>
      </c>
      <c r="J63">
        <v>22033</v>
      </c>
      <c r="K63" t="s">
        <v>18</v>
      </c>
      <c r="L63" t="s">
        <v>66</v>
      </c>
    </row>
    <row r="64" spans="1:12" hidden="1" x14ac:dyDescent="0.2">
      <c r="A64" t="s">
        <v>12</v>
      </c>
      <c r="B64" t="s">
        <v>41</v>
      </c>
      <c r="C64">
        <v>2017</v>
      </c>
      <c r="D64" t="s">
        <v>14</v>
      </c>
      <c r="E64" t="s">
        <v>15</v>
      </c>
      <c r="F64" t="s">
        <v>16</v>
      </c>
      <c r="G64">
        <v>240</v>
      </c>
      <c r="H64" t="s">
        <v>30</v>
      </c>
      <c r="I64" s="3">
        <f t="shared" ref="I64:I65" si="15">I63*1.1</f>
        <v>26680.500000000007</v>
      </c>
      <c r="J64">
        <v>22033</v>
      </c>
      <c r="K64" t="s">
        <v>18</v>
      </c>
      <c r="L64" t="s">
        <v>66</v>
      </c>
    </row>
    <row r="65" spans="1:12" hidden="1" x14ac:dyDescent="0.2">
      <c r="A65" t="s">
        <v>12</v>
      </c>
      <c r="B65" t="s">
        <v>41</v>
      </c>
      <c r="C65">
        <v>2018</v>
      </c>
      <c r="D65" t="s">
        <v>14</v>
      </c>
      <c r="E65" t="s">
        <v>15</v>
      </c>
      <c r="F65" t="s">
        <v>16</v>
      </c>
      <c r="G65">
        <v>240</v>
      </c>
      <c r="H65" t="s">
        <v>30</v>
      </c>
      <c r="I65" s="3">
        <f t="shared" si="15"/>
        <v>29348.55000000001</v>
      </c>
      <c r="J65">
        <v>22033</v>
      </c>
      <c r="K65" t="s">
        <v>18</v>
      </c>
      <c r="L65" t="s">
        <v>66</v>
      </c>
    </row>
    <row r="66" spans="1:12" hidden="1" x14ac:dyDescent="0.2">
      <c r="A66" t="s">
        <v>19</v>
      </c>
      <c r="B66" t="s">
        <v>41</v>
      </c>
      <c r="C66">
        <v>2015</v>
      </c>
      <c r="D66" t="s">
        <v>14</v>
      </c>
      <c r="E66" t="s">
        <v>15</v>
      </c>
      <c r="F66" t="s">
        <v>16</v>
      </c>
      <c r="G66">
        <v>320</v>
      </c>
      <c r="H66" t="s">
        <v>42</v>
      </c>
      <c r="I66" s="3">
        <v>23000</v>
      </c>
      <c r="J66">
        <v>22033</v>
      </c>
      <c r="K66" t="s">
        <v>18</v>
      </c>
      <c r="L66" t="s">
        <v>67</v>
      </c>
    </row>
    <row r="67" spans="1:12" hidden="1" x14ac:dyDescent="0.2">
      <c r="A67" t="s">
        <v>19</v>
      </c>
      <c r="B67" t="s">
        <v>41</v>
      </c>
      <c r="C67">
        <v>2016</v>
      </c>
      <c r="D67" t="s">
        <v>14</v>
      </c>
      <c r="E67" t="s">
        <v>15</v>
      </c>
      <c r="F67" t="s">
        <v>16</v>
      </c>
      <c r="G67">
        <v>320</v>
      </c>
      <c r="H67" t="s">
        <v>42</v>
      </c>
      <c r="I67" s="3">
        <f>I66*1.1</f>
        <v>25300.000000000004</v>
      </c>
      <c r="J67">
        <v>22033</v>
      </c>
      <c r="K67" t="s">
        <v>18</v>
      </c>
      <c r="L67" t="s">
        <v>67</v>
      </c>
    </row>
    <row r="68" spans="1:12" hidden="1" x14ac:dyDescent="0.2">
      <c r="A68" t="s">
        <v>19</v>
      </c>
      <c r="B68" t="s">
        <v>41</v>
      </c>
      <c r="C68">
        <v>2017</v>
      </c>
      <c r="D68" t="s">
        <v>14</v>
      </c>
      <c r="E68" t="s">
        <v>15</v>
      </c>
      <c r="F68" t="s">
        <v>16</v>
      </c>
      <c r="G68">
        <v>320</v>
      </c>
      <c r="H68" t="s">
        <v>42</v>
      </c>
      <c r="I68" s="3">
        <f t="shared" ref="I68:I69" si="16">I67*1.1</f>
        <v>27830.000000000007</v>
      </c>
      <c r="J68">
        <v>22033</v>
      </c>
      <c r="K68" t="s">
        <v>18</v>
      </c>
      <c r="L68" t="s">
        <v>67</v>
      </c>
    </row>
    <row r="69" spans="1:12" hidden="1" x14ac:dyDescent="0.2">
      <c r="A69" t="s">
        <v>19</v>
      </c>
      <c r="B69" t="s">
        <v>41</v>
      </c>
      <c r="C69">
        <v>2018</v>
      </c>
      <c r="D69" t="s">
        <v>14</v>
      </c>
      <c r="E69" t="s">
        <v>15</v>
      </c>
      <c r="F69" t="s">
        <v>16</v>
      </c>
      <c r="G69">
        <v>320</v>
      </c>
      <c r="H69" t="s">
        <v>42</v>
      </c>
      <c r="I69" s="3">
        <f t="shared" si="16"/>
        <v>30613.000000000011</v>
      </c>
      <c r="J69">
        <v>22033</v>
      </c>
      <c r="K69" t="s">
        <v>18</v>
      </c>
      <c r="L69" t="s">
        <v>67</v>
      </c>
    </row>
    <row r="70" spans="1:12" hidden="1" x14ac:dyDescent="0.2">
      <c r="A70" t="s">
        <v>21</v>
      </c>
      <c r="B70" t="s">
        <v>41</v>
      </c>
      <c r="C70">
        <v>2015</v>
      </c>
      <c r="D70" t="s">
        <v>14</v>
      </c>
      <c r="E70" t="s">
        <v>15</v>
      </c>
      <c r="F70" t="s">
        <v>16</v>
      </c>
      <c r="G70">
        <v>260</v>
      </c>
      <c r="H70" t="s">
        <v>43</v>
      </c>
      <c r="I70" s="3">
        <v>26000</v>
      </c>
      <c r="J70">
        <v>22033</v>
      </c>
      <c r="K70" t="s">
        <v>18</v>
      </c>
      <c r="L70" t="s">
        <v>68</v>
      </c>
    </row>
    <row r="71" spans="1:12" hidden="1" x14ac:dyDescent="0.2">
      <c r="A71" t="s">
        <v>21</v>
      </c>
      <c r="B71" t="s">
        <v>41</v>
      </c>
      <c r="C71">
        <v>2016</v>
      </c>
      <c r="D71" t="s">
        <v>14</v>
      </c>
      <c r="E71" t="s">
        <v>15</v>
      </c>
      <c r="F71" t="s">
        <v>16</v>
      </c>
      <c r="G71">
        <v>260</v>
      </c>
      <c r="H71" t="s">
        <v>43</v>
      </c>
      <c r="I71" s="3">
        <f>I70*1.1</f>
        <v>28600.000000000004</v>
      </c>
      <c r="J71">
        <v>22033</v>
      </c>
      <c r="K71" t="s">
        <v>18</v>
      </c>
      <c r="L71" t="s">
        <v>68</v>
      </c>
    </row>
    <row r="72" spans="1:12" hidden="1" x14ac:dyDescent="0.2">
      <c r="A72" t="s">
        <v>21</v>
      </c>
      <c r="B72" t="s">
        <v>41</v>
      </c>
      <c r="C72">
        <v>2017</v>
      </c>
      <c r="D72" t="s">
        <v>14</v>
      </c>
      <c r="E72" t="s">
        <v>15</v>
      </c>
      <c r="F72" t="s">
        <v>16</v>
      </c>
      <c r="G72">
        <v>260</v>
      </c>
      <c r="H72" t="s">
        <v>43</v>
      </c>
      <c r="I72" s="3">
        <f t="shared" ref="I72:I73" si="17">I71*1.1</f>
        <v>31460.000000000007</v>
      </c>
      <c r="J72">
        <v>22033</v>
      </c>
      <c r="K72" t="s">
        <v>18</v>
      </c>
      <c r="L72" t="s">
        <v>68</v>
      </c>
    </row>
    <row r="73" spans="1:12" hidden="1" x14ac:dyDescent="0.2">
      <c r="A73" t="s">
        <v>21</v>
      </c>
      <c r="B73" t="s">
        <v>41</v>
      </c>
      <c r="C73">
        <v>2018</v>
      </c>
      <c r="D73" t="s">
        <v>14</v>
      </c>
      <c r="E73" t="s">
        <v>15</v>
      </c>
      <c r="F73" t="s">
        <v>16</v>
      </c>
      <c r="G73">
        <v>260</v>
      </c>
      <c r="H73" t="s">
        <v>43</v>
      </c>
      <c r="I73" s="3">
        <f t="shared" si="17"/>
        <v>34606.000000000007</v>
      </c>
      <c r="J73">
        <v>22033</v>
      </c>
      <c r="K73" t="s">
        <v>18</v>
      </c>
      <c r="L73" t="s">
        <v>68</v>
      </c>
    </row>
    <row r="74" spans="1:12" hidden="1" x14ac:dyDescent="0.2">
      <c r="A74" t="s">
        <v>23</v>
      </c>
      <c r="B74" t="s">
        <v>41</v>
      </c>
      <c r="C74">
        <v>2015</v>
      </c>
      <c r="D74" t="s">
        <v>24</v>
      </c>
      <c r="E74" t="s">
        <v>15</v>
      </c>
      <c r="F74" t="s">
        <v>16</v>
      </c>
      <c r="G74">
        <v>130</v>
      </c>
      <c r="H74" t="s">
        <v>44</v>
      </c>
      <c r="I74" s="3">
        <v>14995</v>
      </c>
      <c r="J74">
        <v>22033</v>
      </c>
      <c r="K74" t="s">
        <v>18</v>
      </c>
      <c r="L74" t="s">
        <v>69</v>
      </c>
    </row>
    <row r="75" spans="1:12" hidden="1" x14ac:dyDescent="0.2">
      <c r="A75" t="s">
        <v>23</v>
      </c>
      <c r="B75" t="s">
        <v>41</v>
      </c>
      <c r="C75">
        <v>2016</v>
      </c>
      <c r="D75" t="s">
        <v>24</v>
      </c>
      <c r="E75" t="s">
        <v>15</v>
      </c>
      <c r="F75" t="s">
        <v>16</v>
      </c>
      <c r="G75">
        <v>130</v>
      </c>
      <c r="H75" t="s">
        <v>44</v>
      </c>
      <c r="I75" s="3">
        <f>I74*1.1</f>
        <v>16494.5</v>
      </c>
      <c r="J75">
        <v>22033</v>
      </c>
      <c r="K75" t="s">
        <v>18</v>
      </c>
      <c r="L75" t="s">
        <v>69</v>
      </c>
    </row>
    <row r="76" spans="1:12" hidden="1" x14ac:dyDescent="0.2">
      <c r="A76" t="s">
        <v>23</v>
      </c>
      <c r="B76" t="s">
        <v>41</v>
      </c>
      <c r="C76">
        <v>2017</v>
      </c>
      <c r="D76" t="s">
        <v>24</v>
      </c>
      <c r="E76" t="s">
        <v>15</v>
      </c>
      <c r="F76" t="s">
        <v>16</v>
      </c>
      <c r="G76">
        <v>130</v>
      </c>
      <c r="H76" t="s">
        <v>44</v>
      </c>
      <c r="I76" s="3">
        <f t="shared" ref="I76:I77" si="18">I75*1.1</f>
        <v>18143.95</v>
      </c>
      <c r="J76">
        <v>22033</v>
      </c>
      <c r="K76" t="s">
        <v>18</v>
      </c>
      <c r="L76" t="s">
        <v>69</v>
      </c>
    </row>
    <row r="77" spans="1:12" hidden="1" x14ac:dyDescent="0.2">
      <c r="A77" t="s">
        <v>23</v>
      </c>
      <c r="B77" t="s">
        <v>41</v>
      </c>
      <c r="C77">
        <v>2018</v>
      </c>
      <c r="D77" t="s">
        <v>24</v>
      </c>
      <c r="E77" t="s">
        <v>15</v>
      </c>
      <c r="F77" t="s">
        <v>16</v>
      </c>
      <c r="G77">
        <v>130</v>
      </c>
      <c r="H77" t="s">
        <v>44</v>
      </c>
      <c r="I77" s="3">
        <f t="shared" si="18"/>
        <v>19958.345000000001</v>
      </c>
      <c r="J77">
        <v>22033</v>
      </c>
      <c r="K77" t="s">
        <v>18</v>
      </c>
      <c r="L77" t="s">
        <v>69</v>
      </c>
    </row>
    <row r="78" spans="1:12" hidden="1" x14ac:dyDescent="0.2">
      <c r="A78" t="s">
        <v>12</v>
      </c>
      <c r="B78" t="s">
        <v>45</v>
      </c>
      <c r="C78">
        <v>2015</v>
      </c>
      <c r="D78" t="s">
        <v>32</v>
      </c>
      <c r="E78" t="s">
        <v>15</v>
      </c>
      <c r="F78" t="s">
        <v>16</v>
      </c>
      <c r="G78">
        <v>275</v>
      </c>
      <c r="H78" t="s">
        <v>46</v>
      </c>
      <c r="I78" s="3">
        <v>38210</v>
      </c>
      <c r="J78">
        <v>22033</v>
      </c>
      <c r="K78" t="s">
        <v>18</v>
      </c>
      <c r="L78" t="s">
        <v>70</v>
      </c>
    </row>
    <row r="79" spans="1:12" hidden="1" x14ac:dyDescent="0.2">
      <c r="A79" t="s">
        <v>12</v>
      </c>
      <c r="B79" t="s">
        <v>45</v>
      </c>
      <c r="C79">
        <v>2016</v>
      </c>
      <c r="D79" t="s">
        <v>32</v>
      </c>
      <c r="E79" t="s">
        <v>15</v>
      </c>
      <c r="F79" t="s">
        <v>16</v>
      </c>
      <c r="G79">
        <v>275</v>
      </c>
      <c r="H79" t="s">
        <v>46</v>
      </c>
      <c r="I79" s="3">
        <f>I78*1.1</f>
        <v>42031</v>
      </c>
      <c r="J79">
        <v>22033</v>
      </c>
      <c r="K79" t="s">
        <v>18</v>
      </c>
      <c r="L79" t="s">
        <v>70</v>
      </c>
    </row>
    <row r="80" spans="1:12" hidden="1" x14ac:dyDescent="0.2">
      <c r="A80" t="s">
        <v>12</v>
      </c>
      <c r="B80" t="s">
        <v>45</v>
      </c>
      <c r="C80">
        <v>2017</v>
      </c>
      <c r="D80" t="s">
        <v>32</v>
      </c>
      <c r="E80" t="s">
        <v>15</v>
      </c>
      <c r="F80" t="s">
        <v>16</v>
      </c>
      <c r="G80">
        <v>275</v>
      </c>
      <c r="H80" t="s">
        <v>46</v>
      </c>
      <c r="I80" s="3">
        <f t="shared" ref="I80:I81" si="19">I79*1.1</f>
        <v>46234.100000000006</v>
      </c>
      <c r="J80">
        <v>22033</v>
      </c>
      <c r="K80" t="s">
        <v>18</v>
      </c>
      <c r="L80" t="s">
        <v>70</v>
      </c>
    </row>
    <row r="81" spans="1:12" hidden="1" x14ac:dyDescent="0.2">
      <c r="A81" t="s">
        <v>12</v>
      </c>
      <c r="B81" t="s">
        <v>45</v>
      </c>
      <c r="C81">
        <v>2018</v>
      </c>
      <c r="D81" t="s">
        <v>32</v>
      </c>
      <c r="E81" t="s">
        <v>15</v>
      </c>
      <c r="F81" t="s">
        <v>16</v>
      </c>
      <c r="G81">
        <v>275</v>
      </c>
      <c r="H81" t="s">
        <v>46</v>
      </c>
      <c r="I81" s="3">
        <f t="shared" si="19"/>
        <v>50857.510000000009</v>
      </c>
      <c r="J81">
        <v>22033</v>
      </c>
      <c r="K81" t="s">
        <v>18</v>
      </c>
      <c r="L81" t="s">
        <v>70</v>
      </c>
    </row>
    <row r="82" spans="1:12" hidden="1" x14ac:dyDescent="0.2">
      <c r="A82" t="s">
        <v>19</v>
      </c>
      <c r="B82" t="s">
        <v>45</v>
      </c>
      <c r="C82">
        <v>2015</v>
      </c>
      <c r="D82" t="s">
        <v>32</v>
      </c>
      <c r="E82" t="s">
        <v>15</v>
      </c>
      <c r="F82" t="s">
        <v>16</v>
      </c>
      <c r="G82">
        <v>350</v>
      </c>
      <c r="H82" t="s">
        <v>46</v>
      </c>
      <c r="I82" s="3">
        <v>40640</v>
      </c>
      <c r="J82">
        <v>22033</v>
      </c>
      <c r="K82" t="s">
        <v>18</v>
      </c>
      <c r="L82" t="s">
        <v>71</v>
      </c>
    </row>
    <row r="83" spans="1:12" hidden="1" x14ac:dyDescent="0.2">
      <c r="A83" t="s">
        <v>19</v>
      </c>
      <c r="B83" t="s">
        <v>45</v>
      </c>
      <c r="C83">
        <v>2016</v>
      </c>
      <c r="D83" t="s">
        <v>32</v>
      </c>
      <c r="E83" t="s">
        <v>15</v>
      </c>
      <c r="F83" t="s">
        <v>16</v>
      </c>
      <c r="G83">
        <v>350</v>
      </c>
      <c r="H83" t="s">
        <v>46</v>
      </c>
      <c r="I83" s="3">
        <f>I82*1.06</f>
        <v>43078.400000000001</v>
      </c>
      <c r="J83">
        <v>22033</v>
      </c>
      <c r="K83" t="s">
        <v>18</v>
      </c>
      <c r="L83" t="s">
        <v>71</v>
      </c>
    </row>
    <row r="84" spans="1:12" hidden="1" x14ac:dyDescent="0.2">
      <c r="A84" t="s">
        <v>19</v>
      </c>
      <c r="B84" t="s">
        <v>45</v>
      </c>
      <c r="C84">
        <v>2017</v>
      </c>
      <c r="D84" t="s">
        <v>32</v>
      </c>
      <c r="E84" t="s">
        <v>15</v>
      </c>
      <c r="F84" t="s">
        <v>16</v>
      </c>
      <c r="G84">
        <v>350</v>
      </c>
      <c r="H84" t="s">
        <v>46</v>
      </c>
      <c r="I84" s="3">
        <f t="shared" ref="I84:I85" si="20">I83*1.06</f>
        <v>45663.104000000007</v>
      </c>
      <c r="J84">
        <v>22033</v>
      </c>
      <c r="K84" t="s">
        <v>18</v>
      </c>
      <c r="L84" t="s">
        <v>71</v>
      </c>
    </row>
    <row r="85" spans="1:12" hidden="1" x14ac:dyDescent="0.2">
      <c r="A85" t="s">
        <v>19</v>
      </c>
      <c r="B85" t="s">
        <v>45</v>
      </c>
      <c r="C85">
        <v>2018</v>
      </c>
      <c r="D85" t="s">
        <v>32</v>
      </c>
      <c r="E85" t="s">
        <v>15</v>
      </c>
      <c r="F85" t="s">
        <v>16</v>
      </c>
      <c r="G85">
        <v>350</v>
      </c>
      <c r="H85" t="s">
        <v>46</v>
      </c>
      <c r="I85" s="3">
        <f t="shared" si="20"/>
        <v>48402.890240000008</v>
      </c>
      <c r="J85">
        <v>22033</v>
      </c>
      <c r="K85" t="s">
        <v>18</v>
      </c>
      <c r="L85" t="s">
        <v>71</v>
      </c>
    </row>
    <row r="86" spans="1:12" hidden="1" x14ac:dyDescent="0.2">
      <c r="A86" t="s">
        <v>21</v>
      </c>
      <c r="B86" t="s">
        <v>45</v>
      </c>
      <c r="C86">
        <v>2015</v>
      </c>
      <c r="D86" t="s">
        <v>32</v>
      </c>
      <c r="E86" t="s">
        <v>15</v>
      </c>
      <c r="F86" t="s">
        <v>16</v>
      </c>
      <c r="G86">
        <v>295</v>
      </c>
      <c r="H86" t="s">
        <v>47</v>
      </c>
      <c r="I86" s="3">
        <v>43270</v>
      </c>
      <c r="J86">
        <v>22033</v>
      </c>
      <c r="K86" t="s">
        <v>18</v>
      </c>
      <c r="L86" t="s">
        <v>72</v>
      </c>
    </row>
    <row r="87" spans="1:12" hidden="1" x14ac:dyDescent="0.2">
      <c r="A87" t="s">
        <v>21</v>
      </c>
      <c r="B87" t="s">
        <v>45</v>
      </c>
      <c r="C87">
        <v>2016</v>
      </c>
      <c r="D87" t="s">
        <v>32</v>
      </c>
      <c r="E87" t="s">
        <v>15</v>
      </c>
      <c r="F87" t="s">
        <v>16</v>
      </c>
      <c r="G87">
        <v>295</v>
      </c>
      <c r="H87" t="s">
        <v>47</v>
      </c>
      <c r="I87" s="3">
        <f>I86*1.06</f>
        <v>45866.200000000004</v>
      </c>
      <c r="J87">
        <v>22033</v>
      </c>
      <c r="K87" t="s">
        <v>18</v>
      </c>
      <c r="L87" t="s">
        <v>72</v>
      </c>
    </row>
    <row r="88" spans="1:12" hidden="1" x14ac:dyDescent="0.2">
      <c r="A88" t="s">
        <v>21</v>
      </c>
      <c r="B88" t="s">
        <v>45</v>
      </c>
      <c r="C88">
        <v>2017</v>
      </c>
      <c r="D88" t="s">
        <v>32</v>
      </c>
      <c r="E88" t="s">
        <v>15</v>
      </c>
      <c r="F88" t="s">
        <v>16</v>
      </c>
      <c r="G88">
        <v>295</v>
      </c>
      <c r="H88" t="s">
        <v>47</v>
      </c>
      <c r="I88" s="3">
        <f t="shared" ref="I88:I89" si="21">I87*1.06</f>
        <v>48618.172000000006</v>
      </c>
      <c r="J88">
        <v>22033</v>
      </c>
      <c r="K88" t="s">
        <v>18</v>
      </c>
      <c r="L88" t="s">
        <v>72</v>
      </c>
    </row>
    <row r="89" spans="1:12" hidden="1" x14ac:dyDescent="0.2">
      <c r="A89" t="s">
        <v>21</v>
      </c>
      <c r="B89" t="s">
        <v>45</v>
      </c>
      <c r="C89">
        <v>2018</v>
      </c>
      <c r="D89" t="s">
        <v>32</v>
      </c>
      <c r="E89" t="s">
        <v>15</v>
      </c>
      <c r="F89" t="s">
        <v>16</v>
      </c>
      <c r="G89">
        <v>295</v>
      </c>
      <c r="H89" t="s">
        <v>47</v>
      </c>
      <c r="I89" s="3">
        <f t="shared" si="21"/>
        <v>51535.262320000009</v>
      </c>
      <c r="J89">
        <v>22033</v>
      </c>
      <c r="K89" t="s">
        <v>18</v>
      </c>
      <c r="L89" t="s">
        <v>72</v>
      </c>
    </row>
    <row r="90" spans="1:12" hidden="1" x14ac:dyDescent="0.2">
      <c r="A90" t="s">
        <v>23</v>
      </c>
      <c r="B90" t="s">
        <v>45</v>
      </c>
      <c r="C90">
        <v>2015</v>
      </c>
      <c r="D90" t="s">
        <v>24</v>
      </c>
      <c r="E90" t="s">
        <v>15</v>
      </c>
      <c r="F90" t="s">
        <v>16</v>
      </c>
      <c r="G90">
        <v>134</v>
      </c>
      <c r="H90" t="s">
        <v>48</v>
      </c>
      <c r="I90" s="3">
        <v>31250</v>
      </c>
      <c r="J90">
        <v>22033</v>
      </c>
      <c r="K90" t="s">
        <v>18</v>
      </c>
      <c r="L90" t="s">
        <v>73</v>
      </c>
    </row>
    <row r="91" spans="1:12" hidden="1" x14ac:dyDescent="0.2">
      <c r="A91" t="s">
        <v>23</v>
      </c>
      <c r="B91" t="s">
        <v>45</v>
      </c>
      <c r="C91">
        <v>2016</v>
      </c>
      <c r="D91" t="s">
        <v>24</v>
      </c>
      <c r="E91" t="s">
        <v>15</v>
      </c>
      <c r="F91" t="s">
        <v>16</v>
      </c>
      <c r="G91">
        <v>134</v>
      </c>
      <c r="H91" t="s">
        <v>48</v>
      </c>
      <c r="I91" s="3">
        <f>I90*1.05</f>
        <v>32812.5</v>
      </c>
      <c r="J91">
        <v>22033</v>
      </c>
      <c r="K91" t="s">
        <v>18</v>
      </c>
      <c r="L91" t="s">
        <v>73</v>
      </c>
    </row>
    <row r="92" spans="1:12" hidden="1" x14ac:dyDescent="0.2">
      <c r="A92" t="s">
        <v>23</v>
      </c>
      <c r="B92" t="s">
        <v>45</v>
      </c>
      <c r="C92">
        <v>2017</v>
      </c>
      <c r="D92" t="s">
        <v>24</v>
      </c>
      <c r="E92" t="s">
        <v>15</v>
      </c>
      <c r="F92" t="s">
        <v>16</v>
      </c>
      <c r="G92">
        <v>134</v>
      </c>
      <c r="H92" t="s">
        <v>48</v>
      </c>
      <c r="I92" s="3">
        <f t="shared" ref="I92:I93" si="22">I91*1.05</f>
        <v>34453.125</v>
      </c>
      <c r="J92">
        <v>22033</v>
      </c>
      <c r="K92" t="s">
        <v>18</v>
      </c>
      <c r="L92" t="s">
        <v>73</v>
      </c>
    </row>
    <row r="93" spans="1:12" hidden="1" x14ac:dyDescent="0.2">
      <c r="A93" t="s">
        <v>23</v>
      </c>
      <c r="B93" t="s">
        <v>45</v>
      </c>
      <c r="C93">
        <v>2018</v>
      </c>
      <c r="D93" t="s">
        <v>24</v>
      </c>
      <c r="E93" t="s">
        <v>15</v>
      </c>
      <c r="F93" t="s">
        <v>16</v>
      </c>
      <c r="G93">
        <v>134</v>
      </c>
      <c r="H93" t="s">
        <v>48</v>
      </c>
      <c r="I93" s="3">
        <f t="shared" si="22"/>
        <v>36175.78125</v>
      </c>
      <c r="J93">
        <v>22033</v>
      </c>
      <c r="K93" t="s">
        <v>18</v>
      </c>
      <c r="L93" t="s">
        <v>73</v>
      </c>
    </row>
    <row r="94" spans="1:12" hidden="1" x14ac:dyDescent="0.2">
      <c r="A94" t="s">
        <v>12</v>
      </c>
      <c r="B94" t="s">
        <v>13</v>
      </c>
      <c r="C94">
        <v>2015</v>
      </c>
      <c r="D94" t="s">
        <v>14</v>
      </c>
      <c r="E94" t="s">
        <v>15</v>
      </c>
      <c r="F94" t="s">
        <v>16</v>
      </c>
      <c r="G94">
        <v>177</v>
      </c>
      <c r="H94" t="s">
        <v>17</v>
      </c>
      <c r="I94" s="3">
        <v>17950</v>
      </c>
      <c r="J94">
        <v>17050</v>
      </c>
      <c r="K94" t="s">
        <v>49</v>
      </c>
      <c r="L94" t="s">
        <v>52</v>
      </c>
    </row>
    <row r="95" spans="1:12" hidden="1" x14ac:dyDescent="0.2">
      <c r="A95" t="s">
        <v>12</v>
      </c>
      <c r="B95" t="s">
        <v>13</v>
      </c>
      <c r="C95">
        <v>2016</v>
      </c>
      <c r="D95" t="s">
        <v>14</v>
      </c>
      <c r="E95" t="s">
        <v>15</v>
      </c>
      <c r="F95" t="s">
        <v>16</v>
      </c>
      <c r="G95">
        <v>177</v>
      </c>
      <c r="H95" t="s">
        <v>17</v>
      </c>
      <c r="I95" s="3">
        <f>I94*1.1</f>
        <v>19745</v>
      </c>
      <c r="J95">
        <v>17050</v>
      </c>
      <c r="K95" t="s">
        <v>49</v>
      </c>
      <c r="L95" t="s">
        <v>52</v>
      </c>
    </row>
    <row r="96" spans="1:12" hidden="1" x14ac:dyDescent="0.2">
      <c r="A96" t="s">
        <v>12</v>
      </c>
      <c r="B96" t="s">
        <v>13</v>
      </c>
      <c r="C96">
        <v>2017</v>
      </c>
      <c r="D96" t="s">
        <v>14</v>
      </c>
      <c r="E96" t="s">
        <v>15</v>
      </c>
      <c r="F96" t="s">
        <v>16</v>
      </c>
      <c r="G96">
        <v>177</v>
      </c>
      <c r="H96" t="s">
        <v>17</v>
      </c>
      <c r="I96" s="3">
        <f t="shared" ref="I96:I97" si="23">I95*1.1</f>
        <v>21719.5</v>
      </c>
      <c r="J96">
        <v>17050</v>
      </c>
      <c r="K96" t="s">
        <v>49</v>
      </c>
      <c r="L96" t="s">
        <v>52</v>
      </c>
    </row>
    <row r="97" spans="1:12" hidden="1" x14ac:dyDescent="0.2">
      <c r="A97" t="s">
        <v>12</v>
      </c>
      <c r="B97" t="s">
        <v>13</v>
      </c>
      <c r="C97">
        <v>2018</v>
      </c>
      <c r="D97" t="s">
        <v>14</v>
      </c>
      <c r="E97" t="s">
        <v>15</v>
      </c>
      <c r="F97" t="s">
        <v>16</v>
      </c>
      <c r="G97">
        <v>177</v>
      </c>
      <c r="H97" t="s">
        <v>17</v>
      </c>
      <c r="I97" s="3">
        <f t="shared" si="23"/>
        <v>23891.45</v>
      </c>
      <c r="J97">
        <v>17050</v>
      </c>
      <c r="K97" t="s">
        <v>49</v>
      </c>
      <c r="L97" t="s">
        <v>52</v>
      </c>
    </row>
    <row r="98" spans="1:12" hidden="1" x14ac:dyDescent="0.2">
      <c r="A98" t="s">
        <v>19</v>
      </c>
      <c r="B98" t="s">
        <v>13</v>
      </c>
      <c r="C98">
        <v>2015</v>
      </c>
      <c r="D98" t="s">
        <v>14</v>
      </c>
      <c r="E98" t="s">
        <v>15</v>
      </c>
      <c r="F98" t="s">
        <v>16</v>
      </c>
      <c r="G98">
        <v>350</v>
      </c>
      <c r="H98" t="s">
        <v>20</v>
      </c>
      <c r="I98" s="3">
        <v>25680</v>
      </c>
      <c r="J98">
        <v>17050</v>
      </c>
      <c r="K98" t="s">
        <v>49</v>
      </c>
      <c r="L98" t="s">
        <v>53</v>
      </c>
    </row>
    <row r="99" spans="1:12" hidden="1" x14ac:dyDescent="0.2">
      <c r="A99" t="s">
        <v>19</v>
      </c>
      <c r="B99" t="s">
        <v>13</v>
      </c>
      <c r="C99">
        <v>2016</v>
      </c>
      <c r="D99" t="s">
        <v>14</v>
      </c>
      <c r="E99" t="s">
        <v>15</v>
      </c>
      <c r="F99" t="s">
        <v>16</v>
      </c>
      <c r="G99">
        <v>350</v>
      </c>
      <c r="H99" t="s">
        <v>20</v>
      </c>
      <c r="I99" s="3">
        <f>I98*1.1</f>
        <v>28248.000000000004</v>
      </c>
      <c r="J99">
        <v>17050</v>
      </c>
      <c r="K99" t="s">
        <v>49</v>
      </c>
      <c r="L99" t="s">
        <v>53</v>
      </c>
    </row>
    <row r="100" spans="1:12" hidden="1" x14ac:dyDescent="0.2">
      <c r="A100" t="s">
        <v>19</v>
      </c>
      <c r="B100" t="s">
        <v>13</v>
      </c>
      <c r="C100">
        <v>2017</v>
      </c>
      <c r="D100" t="s">
        <v>14</v>
      </c>
      <c r="E100" t="s">
        <v>15</v>
      </c>
      <c r="F100" t="s">
        <v>16</v>
      </c>
      <c r="G100">
        <v>350</v>
      </c>
      <c r="H100" t="s">
        <v>20</v>
      </c>
      <c r="I100" s="3">
        <f t="shared" ref="I100" si="24">I99*1.1</f>
        <v>31072.800000000007</v>
      </c>
      <c r="J100">
        <v>17050</v>
      </c>
      <c r="K100" t="s">
        <v>49</v>
      </c>
      <c r="L100" t="s">
        <v>53</v>
      </c>
    </row>
    <row r="101" spans="1:12" hidden="1" x14ac:dyDescent="0.2">
      <c r="A101" t="s">
        <v>19</v>
      </c>
      <c r="B101" t="s">
        <v>13</v>
      </c>
      <c r="C101">
        <v>2018</v>
      </c>
      <c r="D101" t="s">
        <v>14</v>
      </c>
      <c r="E101" t="s">
        <v>15</v>
      </c>
      <c r="F101" t="s">
        <v>16</v>
      </c>
      <c r="G101">
        <v>350</v>
      </c>
      <c r="H101" t="s">
        <v>20</v>
      </c>
      <c r="I101" s="3">
        <f>I100*1.1</f>
        <v>34180.080000000009</v>
      </c>
      <c r="J101">
        <v>17050</v>
      </c>
      <c r="K101" t="s">
        <v>49</v>
      </c>
      <c r="L101" t="s">
        <v>53</v>
      </c>
    </row>
    <row r="102" spans="1:12" hidden="1" x14ac:dyDescent="0.2">
      <c r="A102" t="s">
        <v>21</v>
      </c>
      <c r="B102" t="s">
        <v>13</v>
      </c>
      <c r="C102">
        <v>2015</v>
      </c>
      <c r="D102" t="s">
        <v>14</v>
      </c>
      <c r="E102" t="s">
        <v>15</v>
      </c>
      <c r="F102" t="s">
        <v>16</v>
      </c>
      <c r="G102">
        <v>245</v>
      </c>
      <c r="H102" t="s">
        <v>22</v>
      </c>
      <c r="I102" s="3">
        <v>29315</v>
      </c>
      <c r="J102">
        <v>17050</v>
      </c>
      <c r="K102" t="s">
        <v>49</v>
      </c>
      <c r="L102" t="s">
        <v>54</v>
      </c>
    </row>
    <row r="103" spans="1:12" hidden="1" x14ac:dyDescent="0.2">
      <c r="A103" t="s">
        <v>21</v>
      </c>
      <c r="B103" t="s">
        <v>13</v>
      </c>
      <c r="C103">
        <v>2016</v>
      </c>
      <c r="D103" t="s">
        <v>14</v>
      </c>
      <c r="E103" t="s">
        <v>15</v>
      </c>
      <c r="F103" t="s">
        <v>16</v>
      </c>
      <c r="G103">
        <v>245</v>
      </c>
      <c r="H103" t="s">
        <v>22</v>
      </c>
      <c r="I103" s="3">
        <f>I102*1.1</f>
        <v>32246.500000000004</v>
      </c>
      <c r="J103">
        <v>17050</v>
      </c>
      <c r="K103" t="s">
        <v>49</v>
      </c>
      <c r="L103" t="s">
        <v>54</v>
      </c>
    </row>
    <row r="104" spans="1:12" hidden="1" x14ac:dyDescent="0.2">
      <c r="A104" t="s">
        <v>21</v>
      </c>
      <c r="B104" t="s">
        <v>13</v>
      </c>
      <c r="C104">
        <v>2017</v>
      </c>
      <c r="D104" t="s">
        <v>14</v>
      </c>
      <c r="E104" t="s">
        <v>15</v>
      </c>
      <c r="F104" t="s">
        <v>16</v>
      </c>
      <c r="G104">
        <v>245</v>
      </c>
      <c r="H104" t="s">
        <v>22</v>
      </c>
      <c r="I104" s="3">
        <f t="shared" ref="I104:I105" si="25">I103*1.1</f>
        <v>35471.150000000009</v>
      </c>
      <c r="J104">
        <v>17050</v>
      </c>
      <c r="K104" t="s">
        <v>49</v>
      </c>
      <c r="L104" t="s">
        <v>54</v>
      </c>
    </row>
    <row r="105" spans="1:12" hidden="1" x14ac:dyDescent="0.2">
      <c r="A105" t="s">
        <v>21</v>
      </c>
      <c r="B105" t="s">
        <v>13</v>
      </c>
      <c r="C105">
        <v>2018</v>
      </c>
      <c r="D105" t="s">
        <v>14</v>
      </c>
      <c r="E105" t="s">
        <v>15</v>
      </c>
      <c r="F105" t="s">
        <v>16</v>
      </c>
      <c r="G105">
        <v>245</v>
      </c>
      <c r="H105" t="s">
        <v>22</v>
      </c>
      <c r="I105" s="3">
        <f t="shared" si="25"/>
        <v>39018.265000000014</v>
      </c>
      <c r="J105">
        <v>17050</v>
      </c>
      <c r="K105" t="s">
        <v>49</v>
      </c>
      <c r="L105" t="s">
        <v>54</v>
      </c>
    </row>
    <row r="106" spans="1:12" hidden="1" x14ac:dyDescent="0.2">
      <c r="A106" t="s">
        <v>23</v>
      </c>
      <c r="B106" t="s">
        <v>13</v>
      </c>
      <c r="C106">
        <v>2015</v>
      </c>
      <c r="D106" t="s">
        <v>24</v>
      </c>
      <c r="E106" t="s">
        <v>15</v>
      </c>
      <c r="F106" t="s">
        <v>16</v>
      </c>
      <c r="G106">
        <v>185</v>
      </c>
      <c r="H106" t="s">
        <v>25</v>
      </c>
      <c r="I106" s="3">
        <v>17950</v>
      </c>
      <c r="J106">
        <v>17050</v>
      </c>
      <c r="K106" t="s">
        <v>49</v>
      </c>
      <c r="L106" t="s">
        <v>52</v>
      </c>
    </row>
    <row r="107" spans="1:12" hidden="1" x14ac:dyDescent="0.2">
      <c r="A107" t="s">
        <v>23</v>
      </c>
      <c r="B107" t="s">
        <v>13</v>
      </c>
      <c r="C107">
        <v>2016</v>
      </c>
      <c r="D107" t="s">
        <v>24</v>
      </c>
      <c r="E107" t="s">
        <v>15</v>
      </c>
      <c r="F107" t="s">
        <v>16</v>
      </c>
      <c r="G107">
        <v>185</v>
      </c>
      <c r="H107" t="s">
        <v>25</v>
      </c>
      <c r="I107" s="3">
        <f>I106*1.1</f>
        <v>19745</v>
      </c>
      <c r="J107">
        <v>17050</v>
      </c>
      <c r="K107" t="s">
        <v>49</v>
      </c>
      <c r="L107" t="s">
        <v>52</v>
      </c>
    </row>
    <row r="108" spans="1:12" hidden="1" x14ac:dyDescent="0.2">
      <c r="A108" t="s">
        <v>23</v>
      </c>
      <c r="B108" t="s">
        <v>13</v>
      </c>
      <c r="C108">
        <v>2017</v>
      </c>
      <c r="D108" t="s">
        <v>24</v>
      </c>
      <c r="E108" t="s">
        <v>15</v>
      </c>
      <c r="F108" t="s">
        <v>16</v>
      </c>
      <c r="G108">
        <v>185</v>
      </c>
      <c r="H108" t="s">
        <v>25</v>
      </c>
      <c r="I108" s="3">
        <f t="shared" ref="I108:I109" si="26">I107*1.1</f>
        <v>21719.5</v>
      </c>
      <c r="J108">
        <v>17050</v>
      </c>
      <c r="K108" t="s">
        <v>49</v>
      </c>
      <c r="L108" t="s">
        <v>52</v>
      </c>
    </row>
    <row r="109" spans="1:12" hidden="1" x14ac:dyDescent="0.2">
      <c r="A109" t="s">
        <v>23</v>
      </c>
      <c r="B109" t="s">
        <v>13</v>
      </c>
      <c r="C109">
        <v>2018</v>
      </c>
      <c r="D109" t="s">
        <v>24</v>
      </c>
      <c r="E109" t="s">
        <v>15</v>
      </c>
      <c r="F109" t="s">
        <v>16</v>
      </c>
      <c r="G109">
        <v>185</v>
      </c>
      <c r="H109" t="s">
        <v>25</v>
      </c>
      <c r="I109" s="3">
        <f t="shared" si="26"/>
        <v>23891.45</v>
      </c>
      <c r="J109">
        <v>17050</v>
      </c>
      <c r="K109" t="s">
        <v>49</v>
      </c>
      <c r="L109" t="s">
        <v>52</v>
      </c>
    </row>
    <row r="110" spans="1:12" hidden="1" x14ac:dyDescent="0.2">
      <c r="A110" t="s">
        <v>12</v>
      </c>
      <c r="B110" t="s">
        <v>26</v>
      </c>
      <c r="C110">
        <v>2015</v>
      </c>
      <c r="D110" t="s">
        <v>14</v>
      </c>
      <c r="E110" t="s">
        <v>15</v>
      </c>
      <c r="F110" t="s">
        <v>16</v>
      </c>
      <c r="G110">
        <v>266</v>
      </c>
      <c r="H110" t="s">
        <v>27</v>
      </c>
      <c r="I110" s="3">
        <v>27895</v>
      </c>
      <c r="J110">
        <v>17050</v>
      </c>
      <c r="K110" t="s">
        <v>49</v>
      </c>
      <c r="L110" t="s">
        <v>55</v>
      </c>
    </row>
    <row r="111" spans="1:12" hidden="1" x14ac:dyDescent="0.2">
      <c r="A111" t="s">
        <v>12</v>
      </c>
      <c r="B111" t="s">
        <v>26</v>
      </c>
      <c r="C111">
        <v>2016</v>
      </c>
      <c r="D111" t="s">
        <v>14</v>
      </c>
      <c r="E111" t="s">
        <v>15</v>
      </c>
      <c r="F111" t="s">
        <v>16</v>
      </c>
      <c r="G111">
        <v>266</v>
      </c>
      <c r="H111" t="s">
        <v>27</v>
      </c>
      <c r="I111" s="3">
        <f>I110*1.1</f>
        <v>30684.500000000004</v>
      </c>
      <c r="J111">
        <v>17050</v>
      </c>
      <c r="K111" t="s">
        <v>49</v>
      </c>
      <c r="L111" t="s">
        <v>55</v>
      </c>
    </row>
    <row r="112" spans="1:12" hidden="1" x14ac:dyDescent="0.2">
      <c r="A112" t="s">
        <v>12</v>
      </c>
      <c r="B112" t="s">
        <v>26</v>
      </c>
      <c r="C112">
        <v>2017</v>
      </c>
      <c r="D112" t="s">
        <v>14</v>
      </c>
      <c r="E112" t="s">
        <v>15</v>
      </c>
      <c r="F112" t="s">
        <v>16</v>
      </c>
      <c r="G112">
        <v>266</v>
      </c>
      <c r="H112" t="s">
        <v>27</v>
      </c>
      <c r="I112" s="3">
        <f t="shared" ref="I112:I113" si="27">I111*1.1</f>
        <v>33752.950000000004</v>
      </c>
      <c r="J112">
        <v>17050</v>
      </c>
      <c r="K112" t="s">
        <v>49</v>
      </c>
      <c r="L112" t="s">
        <v>55</v>
      </c>
    </row>
    <row r="113" spans="1:12" hidden="1" x14ac:dyDescent="0.2">
      <c r="A113" t="s">
        <v>12</v>
      </c>
      <c r="B113" t="s">
        <v>26</v>
      </c>
      <c r="C113">
        <v>2018</v>
      </c>
      <c r="D113" t="s">
        <v>14</v>
      </c>
      <c r="E113" t="s">
        <v>15</v>
      </c>
      <c r="F113" t="s">
        <v>16</v>
      </c>
      <c r="G113">
        <v>266</v>
      </c>
      <c r="H113" t="s">
        <v>27</v>
      </c>
      <c r="I113" s="3">
        <f t="shared" si="27"/>
        <v>37128.24500000001</v>
      </c>
      <c r="J113">
        <v>17050</v>
      </c>
      <c r="K113" t="s">
        <v>49</v>
      </c>
      <c r="L113" t="s">
        <v>55</v>
      </c>
    </row>
    <row r="114" spans="1:12" hidden="1" x14ac:dyDescent="0.2">
      <c r="A114" t="s">
        <v>19</v>
      </c>
      <c r="B114" t="s">
        <v>26</v>
      </c>
      <c r="C114">
        <v>2015</v>
      </c>
      <c r="D114" t="s">
        <v>14</v>
      </c>
      <c r="E114" t="s">
        <v>15</v>
      </c>
      <c r="F114" t="s">
        <v>16</v>
      </c>
      <c r="G114">
        <v>350</v>
      </c>
      <c r="H114" t="s">
        <v>28</v>
      </c>
      <c r="I114" s="3">
        <v>27000</v>
      </c>
      <c r="J114">
        <v>17050</v>
      </c>
      <c r="K114" t="s">
        <v>49</v>
      </c>
      <c r="L114" t="s">
        <v>56</v>
      </c>
    </row>
    <row r="115" spans="1:12" hidden="1" x14ac:dyDescent="0.2">
      <c r="A115" t="s">
        <v>19</v>
      </c>
      <c r="B115" t="s">
        <v>26</v>
      </c>
      <c r="C115">
        <v>2016</v>
      </c>
      <c r="D115" t="s">
        <v>14</v>
      </c>
      <c r="E115" t="s">
        <v>15</v>
      </c>
      <c r="F115" t="s">
        <v>16</v>
      </c>
      <c r="G115">
        <v>350</v>
      </c>
      <c r="H115" t="s">
        <v>28</v>
      </c>
      <c r="I115" s="3">
        <f>I114*1.05</f>
        <v>28350</v>
      </c>
      <c r="J115">
        <v>17050</v>
      </c>
      <c r="K115" t="s">
        <v>49</v>
      </c>
      <c r="L115" t="s">
        <v>56</v>
      </c>
    </row>
    <row r="116" spans="1:12" hidden="1" x14ac:dyDescent="0.2">
      <c r="A116" t="s">
        <v>19</v>
      </c>
      <c r="B116" t="s">
        <v>26</v>
      </c>
      <c r="C116">
        <v>2017</v>
      </c>
      <c r="D116" t="s">
        <v>14</v>
      </c>
      <c r="E116" t="s">
        <v>15</v>
      </c>
      <c r="F116" t="s">
        <v>16</v>
      </c>
      <c r="G116">
        <v>350</v>
      </c>
      <c r="H116" t="s">
        <v>28</v>
      </c>
      <c r="I116" s="3">
        <f t="shared" ref="I116:I117" si="28">I115*1.05</f>
        <v>29767.5</v>
      </c>
      <c r="J116">
        <v>17050</v>
      </c>
      <c r="K116" t="s">
        <v>49</v>
      </c>
      <c r="L116" t="s">
        <v>56</v>
      </c>
    </row>
    <row r="117" spans="1:12" hidden="1" x14ac:dyDescent="0.2">
      <c r="A117" t="s">
        <v>19</v>
      </c>
      <c r="B117" t="s">
        <v>26</v>
      </c>
      <c r="C117">
        <v>2018</v>
      </c>
      <c r="D117" t="s">
        <v>14</v>
      </c>
      <c r="E117" t="s">
        <v>15</v>
      </c>
      <c r="F117" t="s">
        <v>16</v>
      </c>
      <c r="G117">
        <v>350</v>
      </c>
      <c r="H117" t="s">
        <v>28</v>
      </c>
      <c r="I117" s="3">
        <f t="shared" si="28"/>
        <v>31255.875</v>
      </c>
      <c r="J117">
        <v>17050</v>
      </c>
      <c r="K117" t="s">
        <v>49</v>
      </c>
      <c r="L117" t="s">
        <v>56</v>
      </c>
    </row>
    <row r="118" spans="1:12" hidden="1" x14ac:dyDescent="0.2">
      <c r="A118" t="s">
        <v>21</v>
      </c>
      <c r="B118" t="s">
        <v>26</v>
      </c>
      <c r="C118">
        <v>2015</v>
      </c>
      <c r="D118" t="s">
        <v>14</v>
      </c>
      <c r="E118" t="s">
        <v>15</v>
      </c>
      <c r="F118" t="s">
        <v>16</v>
      </c>
      <c r="G118">
        <v>355</v>
      </c>
      <c r="H118" t="s">
        <v>29</v>
      </c>
      <c r="I118" s="3">
        <v>52000</v>
      </c>
      <c r="J118">
        <v>17050</v>
      </c>
      <c r="K118" t="s">
        <v>49</v>
      </c>
      <c r="L118" t="s">
        <v>57</v>
      </c>
    </row>
    <row r="119" spans="1:12" hidden="1" x14ac:dyDescent="0.2">
      <c r="A119" t="s">
        <v>21</v>
      </c>
      <c r="B119" t="s">
        <v>26</v>
      </c>
      <c r="C119">
        <v>2016</v>
      </c>
      <c r="D119" t="s">
        <v>14</v>
      </c>
      <c r="E119" t="s">
        <v>15</v>
      </c>
      <c r="F119" t="s">
        <v>16</v>
      </c>
      <c r="G119">
        <v>355</v>
      </c>
      <c r="H119" t="s">
        <v>29</v>
      </c>
      <c r="I119" s="3">
        <f>I118*1.1</f>
        <v>57200.000000000007</v>
      </c>
      <c r="J119">
        <v>17050</v>
      </c>
      <c r="K119" t="s">
        <v>49</v>
      </c>
      <c r="L119" t="s">
        <v>57</v>
      </c>
    </row>
    <row r="120" spans="1:12" hidden="1" x14ac:dyDescent="0.2">
      <c r="A120" t="s">
        <v>21</v>
      </c>
      <c r="B120" t="s">
        <v>26</v>
      </c>
      <c r="C120">
        <v>2017</v>
      </c>
      <c r="D120" t="s">
        <v>14</v>
      </c>
      <c r="E120" t="s">
        <v>15</v>
      </c>
      <c r="F120" t="s">
        <v>16</v>
      </c>
      <c r="G120">
        <v>355</v>
      </c>
      <c r="H120" t="s">
        <v>29</v>
      </c>
      <c r="I120" s="3">
        <f t="shared" ref="I120:I121" si="29">I119*1.1</f>
        <v>62920.000000000015</v>
      </c>
      <c r="J120">
        <v>17050</v>
      </c>
      <c r="K120" t="s">
        <v>49</v>
      </c>
      <c r="L120" t="s">
        <v>57</v>
      </c>
    </row>
    <row r="121" spans="1:12" hidden="1" x14ac:dyDescent="0.2">
      <c r="A121" t="s">
        <v>21</v>
      </c>
      <c r="B121" t="s">
        <v>26</v>
      </c>
      <c r="C121">
        <v>2018</v>
      </c>
      <c r="D121" t="s">
        <v>14</v>
      </c>
      <c r="E121" t="s">
        <v>15</v>
      </c>
      <c r="F121" t="s">
        <v>16</v>
      </c>
      <c r="G121">
        <v>355</v>
      </c>
      <c r="H121" t="s">
        <v>29</v>
      </c>
      <c r="I121" s="3">
        <f t="shared" si="29"/>
        <v>69212.000000000015</v>
      </c>
      <c r="J121">
        <v>17050</v>
      </c>
      <c r="K121" t="s">
        <v>49</v>
      </c>
      <c r="L121" t="s">
        <v>57</v>
      </c>
    </row>
    <row r="122" spans="1:12" hidden="1" x14ac:dyDescent="0.2">
      <c r="A122" t="s">
        <v>23</v>
      </c>
      <c r="B122" t="s">
        <v>26</v>
      </c>
      <c r="C122">
        <v>2015</v>
      </c>
      <c r="D122" t="s">
        <v>24</v>
      </c>
      <c r="E122" t="s">
        <v>15</v>
      </c>
      <c r="F122" t="s">
        <v>16</v>
      </c>
      <c r="G122">
        <v>138</v>
      </c>
      <c r="H122" t="s">
        <v>30</v>
      </c>
      <c r="I122" s="3">
        <v>15295</v>
      </c>
      <c r="J122">
        <v>17050</v>
      </c>
      <c r="K122" t="s">
        <v>49</v>
      </c>
      <c r="L122" t="s">
        <v>58</v>
      </c>
    </row>
    <row r="123" spans="1:12" hidden="1" x14ac:dyDescent="0.2">
      <c r="A123" t="s">
        <v>23</v>
      </c>
      <c r="B123" t="s">
        <v>26</v>
      </c>
      <c r="C123">
        <v>2016</v>
      </c>
      <c r="D123" t="s">
        <v>24</v>
      </c>
      <c r="E123" t="s">
        <v>15</v>
      </c>
      <c r="F123" t="s">
        <v>16</v>
      </c>
      <c r="G123">
        <v>138</v>
      </c>
      <c r="H123" t="s">
        <v>30</v>
      </c>
      <c r="I123" s="3">
        <f>I122*1.1</f>
        <v>16824.5</v>
      </c>
      <c r="J123">
        <v>17050</v>
      </c>
      <c r="K123" t="s">
        <v>49</v>
      </c>
      <c r="L123" t="s">
        <v>58</v>
      </c>
    </row>
    <row r="124" spans="1:12" hidden="1" x14ac:dyDescent="0.2">
      <c r="A124" t="s">
        <v>23</v>
      </c>
      <c r="B124" t="s">
        <v>26</v>
      </c>
      <c r="C124">
        <v>2017</v>
      </c>
      <c r="D124" t="s">
        <v>24</v>
      </c>
      <c r="E124" t="s">
        <v>15</v>
      </c>
      <c r="F124" t="s">
        <v>16</v>
      </c>
      <c r="G124">
        <v>138</v>
      </c>
      <c r="H124" t="s">
        <v>30</v>
      </c>
      <c r="I124" s="3">
        <f t="shared" ref="I124:I125" si="30">I123*1.1</f>
        <v>18506.95</v>
      </c>
      <c r="J124">
        <v>17050</v>
      </c>
      <c r="K124" t="s">
        <v>49</v>
      </c>
      <c r="L124" t="s">
        <v>58</v>
      </c>
    </row>
    <row r="125" spans="1:12" hidden="1" x14ac:dyDescent="0.2">
      <c r="A125" t="s">
        <v>23</v>
      </c>
      <c r="B125" t="s">
        <v>26</v>
      </c>
      <c r="C125">
        <v>2018</v>
      </c>
      <c r="D125" t="s">
        <v>24</v>
      </c>
      <c r="E125" t="s">
        <v>15</v>
      </c>
      <c r="F125" t="s">
        <v>16</v>
      </c>
      <c r="G125">
        <v>138</v>
      </c>
      <c r="H125" t="s">
        <v>30</v>
      </c>
      <c r="I125" s="3">
        <f t="shared" si="30"/>
        <v>20357.645000000004</v>
      </c>
      <c r="J125">
        <v>17050</v>
      </c>
      <c r="K125" t="s">
        <v>49</v>
      </c>
      <c r="L125" t="s">
        <v>58</v>
      </c>
    </row>
    <row r="126" spans="1:12" x14ac:dyDescent="0.2">
      <c r="A126" t="s">
        <v>12</v>
      </c>
      <c r="B126" t="s">
        <v>31</v>
      </c>
      <c r="C126">
        <v>2015</v>
      </c>
      <c r="D126" t="s">
        <v>32</v>
      </c>
      <c r="E126" t="s">
        <v>15</v>
      </c>
      <c r="F126" t="s">
        <v>16</v>
      </c>
      <c r="G126">
        <v>290</v>
      </c>
      <c r="H126" t="s">
        <v>33</v>
      </c>
      <c r="I126" s="3">
        <v>34900</v>
      </c>
      <c r="J126">
        <v>17050</v>
      </c>
      <c r="K126" t="s">
        <v>49</v>
      </c>
      <c r="L126" t="s">
        <v>59</v>
      </c>
    </row>
    <row r="127" spans="1:12" x14ac:dyDescent="0.2">
      <c r="A127" t="s">
        <v>12</v>
      </c>
      <c r="B127" t="s">
        <v>31</v>
      </c>
      <c r="C127">
        <v>2016</v>
      </c>
      <c r="D127" t="s">
        <v>32</v>
      </c>
      <c r="E127" t="s">
        <v>15</v>
      </c>
      <c r="F127" t="s">
        <v>16</v>
      </c>
      <c r="G127">
        <v>290</v>
      </c>
      <c r="H127" t="s">
        <v>33</v>
      </c>
      <c r="I127" s="3">
        <f>34900*1.1</f>
        <v>38390</v>
      </c>
      <c r="J127">
        <v>17050</v>
      </c>
      <c r="K127" t="s">
        <v>49</v>
      </c>
      <c r="L127" t="s">
        <v>59</v>
      </c>
    </row>
    <row r="128" spans="1:12" x14ac:dyDescent="0.2">
      <c r="A128" t="s">
        <v>12</v>
      </c>
      <c r="B128" t="s">
        <v>31</v>
      </c>
      <c r="C128">
        <v>2017</v>
      </c>
      <c r="D128" t="s">
        <v>32</v>
      </c>
      <c r="E128" t="s">
        <v>15</v>
      </c>
      <c r="F128" t="s">
        <v>16</v>
      </c>
      <c r="G128">
        <v>290</v>
      </c>
      <c r="H128" t="s">
        <v>33</v>
      </c>
      <c r="I128" s="3">
        <f t="shared" ref="I128:I129" si="31">34900*1.1</f>
        <v>38390</v>
      </c>
      <c r="J128">
        <v>17050</v>
      </c>
      <c r="K128" t="s">
        <v>49</v>
      </c>
      <c r="L128" t="s">
        <v>59</v>
      </c>
    </row>
    <row r="129" spans="1:12" x14ac:dyDescent="0.2">
      <c r="A129" t="s">
        <v>12</v>
      </c>
      <c r="B129" t="s">
        <v>31</v>
      </c>
      <c r="C129">
        <v>2018</v>
      </c>
      <c r="D129" t="s">
        <v>32</v>
      </c>
      <c r="E129" t="s">
        <v>15</v>
      </c>
      <c r="F129" t="s">
        <v>16</v>
      </c>
      <c r="G129">
        <v>290</v>
      </c>
      <c r="H129" t="s">
        <v>33</v>
      </c>
      <c r="I129" s="3">
        <f t="shared" si="31"/>
        <v>38390</v>
      </c>
      <c r="J129">
        <v>17050</v>
      </c>
      <c r="K129" t="s">
        <v>49</v>
      </c>
      <c r="L129" t="s">
        <v>59</v>
      </c>
    </row>
    <row r="130" spans="1:12" x14ac:dyDescent="0.2">
      <c r="A130" t="s">
        <v>12</v>
      </c>
      <c r="B130" t="s">
        <v>31</v>
      </c>
      <c r="C130">
        <v>2015</v>
      </c>
      <c r="D130" t="s">
        <v>32</v>
      </c>
      <c r="E130" t="s">
        <v>34</v>
      </c>
      <c r="F130" t="s">
        <v>16</v>
      </c>
      <c r="G130">
        <v>335</v>
      </c>
      <c r="H130" t="s">
        <v>35</v>
      </c>
      <c r="I130" s="3">
        <v>52650</v>
      </c>
      <c r="J130">
        <v>17050</v>
      </c>
      <c r="K130" t="s">
        <v>49</v>
      </c>
      <c r="L130" t="s">
        <v>60</v>
      </c>
    </row>
    <row r="131" spans="1:12" x14ac:dyDescent="0.2">
      <c r="A131" t="s">
        <v>12</v>
      </c>
      <c r="B131" t="s">
        <v>31</v>
      </c>
      <c r="C131">
        <v>2016</v>
      </c>
      <c r="D131" t="s">
        <v>32</v>
      </c>
      <c r="E131" t="s">
        <v>34</v>
      </c>
      <c r="F131" t="s">
        <v>16</v>
      </c>
      <c r="G131">
        <v>335</v>
      </c>
      <c r="H131" t="s">
        <v>35</v>
      </c>
      <c r="I131" s="3">
        <f>52650*1.1</f>
        <v>57915.000000000007</v>
      </c>
      <c r="J131">
        <v>17050</v>
      </c>
      <c r="K131" t="s">
        <v>49</v>
      </c>
      <c r="L131" t="s">
        <v>60</v>
      </c>
    </row>
    <row r="132" spans="1:12" x14ac:dyDescent="0.2">
      <c r="A132" t="s">
        <v>12</v>
      </c>
      <c r="B132" t="s">
        <v>31</v>
      </c>
      <c r="C132">
        <v>2017</v>
      </c>
      <c r="D132" t="s">
        <v>32</v>
      </c>
      <c r="E132" t="s">
        <v>34</v>
      </c>
      <c r="F132" t="s">
        <v>16</v>
      </c>
      <c r="G132">
        <v>335</v>
      </c>
      <c r="H132" t="s">
        <v>35</v>
      </c>
      <c r="I132" s="3">
        <f t="shared" ref="I132:I133" si="32">52650*1.1</f>
        <v>57915.000000000007</v>
      </c>
      <c r="J132">
        <v>17050</v>
      </c>
      <c r="K132" t="s">
        <v>49</v>
      </c>
      <c r="L132" t="s">
        <v>60</v>
      </c>
    </row>
    <row r="133" spans="1:12" x14ac:dyDescent="0.2">
      <c r="A133" t="s">
        <v>12</v>
      </c>
      <c r="B133" t="s">
        <v>31</v>
      </c>
      <c r="C133">
        <v>2018</v>
      </c>
      <c r="D133" t="s">
        <v>32</v>
      </c>
      <c r="E133" t="s">
        <v>34</v>
      </c>
      <c r="F133" t="s">
        <v>16</v>
      </c>
      <c r="G133">
        <v>335</v>
      </c>
      <c r="H133" t="s">
        <v>35</v>
      </c>
      <c r="I133" s="3">
        <f t="shared" si="32"/>
        <v>57915.000000000007</v>
      </c>
      <c r="J133">
        <v>17050</v>
      </c>
      <c r="K133" t="s">
        <v>49</v>
      </c>
      <c r="L133" t="s">
        <v>60</v>
      </c>
    </row>
    <row r="134" spans="1:12" x14ac:dyDescent="0.2">
      <c r="A134" t="s">
        <v>12</v>
      </c>
      <c r="B134" t="s">
        <v>31</v>
      </c>
      <c r="C134">
        <v>2015</v>
      </c>
      <c r="D134" t="s">
        <v>32</v>
      </c>
      <c r="E134" t="s">
        <v>34</v>
      </c>
      <c r="F134" t="s">
        <v>16</v>
      </c>
      <c r="G134">
        <v>420</v>
      </c>
      <c r="H134" t="s">
        <v>36</v>
      </c>
      <c r="I134" s="3">
        <v>83650</v>
      </c>
      <c r="J134">
        <v>17050</v>
      </c>
      <c r="K134" t="s">
        <v>49</v>
      </c>
      <c r="L134" t="s">
        <v>61</v>
      </c>
    </row>
    <row r="135" spans="1:12" x14ac:dyDescent="0.2">
      <c r="A135" t="s">
        <v>12</v>
      </c>
      <c r="B135" t="s">
        <v>31</v>
      </c>
      <c r="C135">
        <v>2016</v>
      </c>
      <c r="D135" t="s">
        <v>32</v>
      </c>
      <c r="E135" t="s">
        <v>34</v>
      </c>
      <c r="F135" t="s">
        <v>16</v>
      </c>
      <c r="G135">
        <v>420</v>
      </c>
      <c r="H135" t="s">
        <v>36</v>
      </c>
      <c r="I135" s="3">
        <f>83650*1.1</f>
        <v>92015.000000000015</v>
      </c>
      <c r="J135">
        <v>17050</v>
      </c>
      <c r="K135" t="s">
        <v>49</v>
      </c>
      <c r="L135" t="s">
        <v>61</v>
      </c>
    </row>
    <row r="136" spans="1:12" x14ac:dyDescent="0.2">
      <c r="A136" t="s">
        <v>12</v>
      </c>
      <c r="B136" t="s">
        <v>31</v>
      </c>
      <c r="C136">
        <v>2017</v>
      </c>
      <c r="D136" t="s">
        <v>32</v>
      </c>
      <c r="E136" t="s">
        <v>34</v>
      </c>
      <c r="F136" t="s">
        <v>16</v>
      </c>
      <c r="G136">
        <v>420</v>
      </c>
      <c r="H136" t="s">
        <v>36</v>
      </c>
      <c r="I136" s="3">
        <f t="shared" ref="I136:I137" si="33">83650*1.1</f>
        <v>92015.000000000015</v>
      </c>
      <c r="J136">
        <v>17050</v>
      </c>
      <c r="K136" t="s">
        <v>49</v>
      </c>
      <c r="L136" t="s">
        <v>61</v>
      </c>
    </row>
    <row r="137" spans="1:12" x14ac:dyDescent="0.2">
      <c r="A137" t="s">
        <v>12</v>
      </c>
      <c r="B137" t="s">
        <v>31</v>
      </c>
      <c r="C137">
        <v>2018</v>
      </c>
      <c r="D137" t="s">
        <v>32</v>
      </c>
      <c r="E137" t="s">
        <v>34</v>
      </c>
      <c r="F137" t="s">
        <v>16</v>
      </c>
      <c r="G137">
        <v>420</v>
      </c>
      <c r="H137" t="s">
        <v>36</v>
      </c>
      <c r="I137" s="3">
        <f t="shared" si="33"/>
        <v>92015.000000000015</v>
      </c>
      <c r="J137">
        <v>17050</v>
      </c>
      <c r="K137" t="s">
        <v>49</v>
      </c>
      <c r="L137" t="s">
        <v>61</v>
      </c>
    </row>
    <row r="138" spans="1:12" hidden="1" x14ac:dyDescent="0.2">
      <c r="A138" t="s">
        <v>12</v>
      </c>
      <c r="B138" t="s">
        <v>37</v>
      </c>
      <c r="C138">
        <v>2015</v>
      </c>
      <c r="D138" t="s">
        <v>32</v>
      </c>
      <c r="E138" t="s">
        <v>15</v>
      </c>
      <c r="F138" t="s">
        <v>16</v>
      </c>
      <c r="G138">
        <v>190</v>
      </c>
      <c r="H138" t="s">
        <v>38</v>
      </c>
      <c r="I138" s="3">
        <v>36000</v>
      </c>
      <c r="J138">
        <v>17050</v>
      </c>
      <c r="K138" t="s">
        <v>49</v>
      </c>
      <c r="L138" t="s">
        <v>62</v>
      </c>
    </row>
    <row r="139" spans="1:12" hidden="1" x14ac:dyDescent="0.2">
      <c r="A139" t="s">
        <v>12</v>
      </c>
      <c r="B139" t="s">
        <v>37</v>
      </c>
      <c r="C139">
        <v>2016</v>
      </c>
      <c r="D139" t="s">
        <v>32</v>
      </c>
      <c r="E139" t="s">
        <v>15</v>
      </c>
      <c r="F139" t="s">
        <v>16</v>
      </c>
      <c r="G139">
        <v>190</v>
      </c>
      <c r="H139" t="s">
        <v>38</v>
      </c>
      <c r="I139" s="3">
        <f>I138*1.1</f>
        <v>39600</v>
      </c>
      <c r="J139">
        <v>17050</v>
      </c>
      <c r="K139" t="s">
        <v>49</v>
      </c>
      <c r="L139" t="s">
        <v>62</v>
      </c>
    </row>
    <row r="140" spans="1:12" hidden="1" x14ac:dyDescent="0.2">
      <c r="A140" t="s">
        <v>12</v>
      </c>
      <c r="B140" t="s">
        <v>37</v>
      </c>
      <c r="C140">
        <v>2017</v>
      </c>
      <c r="D140" t="s">
        <v>32</v>
      </c>
      <c r="E140" t="s">
        <v>15</v>
      </c>
      <c r="F140" t="s">
        <v>16</v>
      </c>
      <c r="G140">
        <v>190</v>
      </c>
      <c r="H140" t="s">
        <v>38</v>
      </c>
      <c r="I140" s="3">
        <f t="shared" ref="I140:I141" si="34">I139*1.1</f>
        <v>43560</v>
      </c>
      <c r="J140">
        <v>17050</v>
      </c>
      <c r="K140" t="s">
        <v>49</v>
      </c>
      <c r="L140" t="s">
        <v>62</v>
      </c>
    </row>
    <row r="141" spans="1:12" hidden="1" x14ac:dyDescent="0.2">
      <c r="A141" t="s">
        <v>12</v>
      </c>
      <c r="B141" t="s">
        <v>37</v>
      </c>
      <c r="C141">
        <v>2018</v>
      </c>
      <c r="D141" t="s">
        <v>32</v>
      </c>
      <c r="E141" t="s">
        <v>15</v>
      </c>
      <c r="F141" t="s">
        <v>16</v>
      </c>
      <c r="G141">
        <v>190</v>
      </c>
      <c r="H141" t="s">
        <v>38</v>
      </c>
      <c r="I141" s="3">
        <f t="shared" si="34"/>
        <v>47916.000000000007</v>
      </c>
      <c r="J141">
        <v>17050</v>
      </c>
      <c r="K141" t="s">
        <v>49</v>
      </c>
      <c r="L141" t="s">
        <v>62</v>
      </c>
    </row>
    <row r="142" spans="1:12" hidden="1" x14ac:dyDescent="0.2">
      <c r="A142" t="s">
        <v>19</v>
      </c>
      <c r="B142" t="s">
        <v>37</v>
      </c>
      <c r="C142">
        <v>2015</v>
      </c>
      <c r="D142" t="s">
        <v>32</v>
      </c>
      <c r="E142" t="s">
        <v>15</v>
      </c>
      <c r="F142" t="s">
        <v>16</v>
      </c>
      <c r="G142">
        <v>252</v>
      </c>
      <c r="H142" t="s">
        <v>35</v>
      </c>
      <c r="I142" s="3">
        <v>42600</v>
      </c>
      <c r="J142">
        <v>17050</v>
      </c>
      <c r="K142" t="s">
        <v>49</v>
      </c>
      <c r="L142" t="s">
        <v>63</v>
      </c>
    </row>
    <row r="143" spans="1:12" hidden="1" x14ac:dyDescent="0.2">
      <c r="A143" t="s">
        <v>19</v>
      </c>
      <c r="B143" t="s">
        <v>37</v>
      </c>
      <c r="C143">
        <v>2016</v>
      </c>
      <c r="D143" t="s">
        <v>32</v>
      </c>
      <c r="E143" t="s">
        <v>15</v>
      </c>
      <c r="F143" t="s">
        <v>16</v>
      </c>
      <c r="G143">
        <v>252</v>
      </c>
      <c r="H143" t="s">
        <v>35</v>
      </c>
      <c r="I143" s="3">
        <f>42600*1.1</f>
        <v>46860.000000000007</v>
      </c>
      <c r="J143">
        <v>17050</v>
      </c>
      <c r="K143" t="s">
        <v>49</v>
      </c>
      <c r="L143" t="s">
        <v>63</v>
      </c>
    </row>
    <row r="144" spans="1:12" hidden="1" x14ac:dyDescent="0.2">
      <c r="A144" t="s">
        <v>19</v>
      </c>
      <c r="B144" t="s">
        <v>37</v>
      </c>
      <c r="C144">
        <v>2017</v>
      </c>
      <c r="D144" t="s">
        <v>32</v>
      </c>
      <c r="E144" t="s">
        <v>15</v>
      </c>
      <c r="F144" t="s">
        <v>16</v>
      </c>
      <c r="G144">
        <v>252</v>
      </c>
      <c r="H144" t="s">
        <v>35</v>
      </c>
      <c r="I144" s="3">
        <f t="shared" ref="I144:I145" si="35">42600*1.1</f>
        <v>46860.000000000007</v>
      </c>
      <c r="J144">
        <v>17050</v>
      </c>
      <c r="K144" t="s">
        <v>49</v>
      </c>
      <c r="L144" t="s">
        <v>63</v>
      </c>
    </row>
    <row r="145" spans="1:12" hidden="1" x14ac:dyDescent="0.2">
      <c r="A145" t="s">
        <v>19</v>
      </c>
      <c r="B145" t="s">
        <v>37</v>
      </c>
      <c r="C145">
        <v>2018</v>
      </c>
      <c r="D145" t="s">
        <v>32</v>
      </c>
      <c r="E145" t="s">
        <v>15</v>
      </c>
      <c r="F145" t="s">
        <v>16</v>
      </c>
      <c r="G145">
        <v>252</v>
      </c>
      <c r="H145" t="s">
        <v>35</v>
      </c>
      <c r="I145" s="3">
        <f t="shared" si="35"/>
        <v>46860.000000000007</v>
      </c>
      <c r="J145">
        <v>17050</v>
      </c>
      <c r="K145" t="s">
        <v>49</v>
      </c>
      <c r="L145" t="s">
        <v>63</v>
      </c>
    </row>
    <row r="146" spans="1:12" hidden="1" x14ac:dyDescent="0.2">
      <c r="A146" t="s">
        <v>21</v>
      </c>
      <c r="B146" t="s">
        <v>37</v>
      </c>
      <c r="C146">
        <v>2015</v>
      </c>
      <c r="D146" t="s">
        <v>32</v>
      </c>
      <c r="E146" t="s">
        <v>15</v>
      </c>
      <c r="F146" t="s">
        <v>16</v>
      </c>
      <c r="G146">
        <v>252</v>
      </c>
      <c r="H146" t="s">
        <v>39</v>
      </c>
      <c r="I146" s="3">
        <v>41500</v>
      </c>
      <c r="J146">
        <v>17050</v>
      </c>
      <c r="K146" t="s">
        <v>49</v>
      </c>
      <c r="L146" t="s">
        <v>64</v>
      </c>
    </row>
    <row r="147" spans="1:12" hidden="1" x14ac:dyDescent="0.2">
      <c r="A147" t="s">
        <v>21</v>
      </c>
      <c r="B147" t="s">
        <v>37</v>
      </c>
      <c r="C147">
        <v>2016</v>
      </c>
      <c r="D147" t="s">
        <v>32</v>
      </c>
      <c r="E147" t="s">
        <v>15</v>
      </c>
      <c r="F147" t="s">
        <v>16</v>
      </c>
      <c r="G147">
        <v>252</v>
      </c>
      <c r="H147" t="s">
        <v>39</v>
      </c>
      <c r="I147" s="3">
        <f>41500*1.1</f>
        <v>45650.000000000007</v>
      </c>
      <c r="J147">
        <v>17050</v>
      </c>
      <c r="K147" t="s">
        <v>49</v>
      </c>
      <c r="L147" t="s">
        <v>64</v>
      </c>
    </row>
    <row r="148" spans="1:12" hidden="1" x14ac:dyDescent="0.2">
      <c r="A148" t="s">
        <v>21</v>
      </c>
      <c r="B148" t="s">
        <v>37</v>
      </c>
      <c r="C148">
        <v>2017</v>
      </c>
      <c r="D148" t="s">
        <v>32</v>
      </c>
      <c r="E148" t="s">
        <v>15</v>
      </c>
      <c r="F148" t="s">
        <v>16</v>
      </c>
      <c r="G148">
        <v>252</v>
      </c>
      <c r="H148" t="s">
        <v>39</v>
      </c>
      <c r="I148" s="3">
        <f t="shared" ref="I148:I149" si="36">41500*1.1</f>
        <v>45650.000000000007</v>
      </c>
      <c r="J148">
        <v>17050</v>
      </c>
      <c r="K148" t="s">
        <v>49</v>
      </c>
      <c r="L148" t="s">
        <v>64</v>
      </c>
    </row>
    <row r="149" spans="1:12" hidden="1" x14ac:dyDescent="0.2">
      <c r="A149" t="s">
        <v>21</v>
      </c>
      <c r="B149" t="s">
        <v>37</v>
      </c>
      <c r="C149">
        <v>2018</v>
      </c>
      <c r="D149" t="s">
        <v>32</v>
      </c>
      <c r="E149" t="s">
        <v>15</v>
      </c>
      <c r="F149" t="s">
        <v>16</v>
      </c>
      <c r="G149">
        <v>252</v>
      </c>
      <c r="H149" t="s">
        <v>39</v>
      </c>
      <c r="I149" s="3">
        <f t="shared" si="36"/>
        <v>45650.000000000007</v>
      </c>
      <c r="J149">
        <v>17050</v>
      </c>
      <c r="K149" t="s">
        <v>49</v>
      </c>
      <c r="L149" t="s">
        <v>64</v>
      </c>
    </row>
    <row r="150" spans="1:12" hidden="1" x14ac:dyDescent="0.2">
      <c r="A150" t="s">
        <v>21</v>
      </c>
      <c r="B150" t="s">
        <v>37</v>
      </c>
      <c r="C150">
        <v>2015</v>
      </c>
      <c r="D150" t="s">
        <v>24</v>
      </c>
      <c r="E150" t="s">
        <v>15</v>
      </c>
      <c r="F150" t="s">
        <v>16</v>
      </c>
      <c r="G150">
        <v>200</v>
      </c>
      <c r="H150" t="s">
        <v>40</v>
      </c>
      <c r="I150" s="3">
        <v>30000</v>
      </c>
      <c r="J150">
        <v>17050</v>
      </c>
      <c r="K150" t="s">
        <v>49</v>
      </c>
      <c r="L150" t="s">
        <v>65</v>
      </c>
    </row>
    <row r="151" spans="1:12" hidden="1" x14ac:dyDescent="0.2">
      <c r="A151" t="s">
        <v>21</v>
      </c>
      <c r="B151" t="s">
        <v>37</v>
      </c>
      <c r="C151">
        <v>2016</v>
      </c>
      <c r="D151" t="s">
        <v>24</v>
      </c>
      <c r="E151" t="s">
        <v>15</v>
      </c>
      <c r="F151" t="s">
        <v>16</v>
      </c>
      <c r="G151">
        <v>200</v>
      </c>
      <c r="H151" t="s">
        <v>40</v>
      </c>
      <c r="I151" s="3">
        <f>I150*1.1</f>
        <v>33000</v>
      </c>
      <c r="J151">
        <v>17050</v>
      </c>
      <c r="K151" t="s">
        <v>49</v>
      </c>
      <c r="L151" t="s">
        <v>65</v>
      </c>
    </row>
    <row r="152" spans="1:12" hidden="1" x14ac:dyDescent="0.2">
      <c r="A152" t="s">
        <v>21</v>
      </c>
      <c r="B152" t="s">
        <v>37</v>
      </c>
      <c r="C152">
        <v>2017</v>
      </c>
      <c r="D152" t="s">
        <v>24</v>
      </c>
      <c r="E152" t="s">
        <v>15</v>
      </c>
      <c r="F152" t="s">
        <v>16</v>
      </c>
      <c r="G152">
        <v>200</v>
      </c>
      <c r="H152" t="s">
        <v>40</v>
      </c>
      <c r="I152" s="3">
        <f t="shared" ref="I152:I153" si="37">I151*1.1</f>
        <v>36300</v>
      </c>
      <c r="J152">
        <v>17050</v>
      </c>
      <c r="K152" t="s">
        <v>49</v>
      </c>
      <c r="L152" t="s">
        <v>65</v>
      </c>
    </row>
    <row r="153" spans="1:12" hidden="1" x14ac:dyDescent="0.2">
      <c r="A153" t="s">
        <v>21</v>
      </c>
      <c r="B153" t="s">
        <v>37</v>
      </c>
      <c r="C153">
        <v>2018</v>
      </c>
      <c r="D153" t="s">
        <v>24</v>
      </c>
      <c r="E153" t="s">
        <v>15</v>
      </c>
      <c r="F153" t="s">
        <v>16</v>
      </c>
      <c r="G153">
        <v>200</v>
      </c>
      <c r="H153" t="s">
        <v>40</v>
      </c>
      <c r="I153" s="3">
        <f t="shared" si="37"/>
        <v>39930</v>
      </c>
      <c r="J153">
        <v>17050</v>
      </c>
      <c r="K153" t="s">
        <v>49</v>
      </c>
      <c r="L153" t="s">
        <v>65</v>
      </c>
    </row>
    <row r="154" spans="1:12" hidden="1" x14ac:dyDescent="0.2">
      <c r="A154" t="s">
        <v>12</v>
      </c>
      <c r="B154" t="s">
        <v>41</v>
      </c>
      <c r="C154">
        <v>2015</v>
      </c>
      <c r="D154" t="s">
        <v>14</v>
      </c>
      <c r="E154" t="s">
        <v>15</v>
      </c>
      <c r="F154" t="s">
        <v>16</v>
      </c>
      <c r="G154">
        <v>240</v>
      </c>
      <c r="H154" t="s">
        <v>30</v>
      </c>
      <c r="I154" s="3">
        <v>22050</v>
      </c>
      <c r="J154">
        <v>17050</v>
      </c>
      <c r="K154" t="s">
        <v>49</v>
      </c>
      <c r="L154" t="s">
        <v>66</v>
      </c>
    </row>
    <row r="155" spans="1:12" hidden="1" x14ac:dyDescent="0.2">
      <c r="A155" t="s">
        <v>12</v>
      </c>
      <c r="B155" t="s">
        <v>41</v>
      </c>
      <c r="C155">
        <v>2016</v>
      </c>
      <c r="D155" t="s">
        <v>14</v>
      </c>
      <c r="E155" t="s">
        <v>15</v>
      </c>
      <c r="F155" t="s">
        <v>16</v>
      </c>
      <c r="G155">
        <v>240</v>
      </c>
      <c r="H155" t="s">
        <v>30</v>
      </c>
      <c r="I155" s="3">
        <f>I154*1.1</f>
        <v>24255.000000000004</v>
      </c>
      <c r="J155">
        <v>17050</v>
      </c>
      <c r="K155" t="s">
        <v>49</v>
      </c>
      <c r="L155" t="s">
        <v>66</v>
      </c>
    </row>
    <row r="156" spans="1:12" hidden="1" x14ac:dyDescent="0.2">
      <c r="A156" t="s">
        <v>12</v>
      </c>
      <c r="B156" t="s">
        <v>41</v>
      </c>
      <c r="C156">
        <v>2017</v>
      </c>
      <c r="D156" t="s">
        <v>14</v>
      </c>
      <c r="E156" t="s">
        <v>15</v>
      </c>
      <c r="F156" t="s">
        <v>16</v>
      </c>
      <c r="G156">
        <v>240</v>
      </c>
      <c r="H156" t="s">
        <v>30</v>
      </c>
      <c r="I156" s="3">
        <f t="shared" ref="I156:I157" si="38">I155*1.1</f>
        <v>26680.500000000007</v>
      </c>
      <c r="J156">
        <v>17050</v>
      </c>
      <c r="K156" t="s">
        <v>49</v>
      </c>
      <c r="L156" t="s">
        <v>66</v>
      </c>
    </row>
    <row r="157" spans="1:12" hidden="1" x14ac:dyDescent="0.2">
      <c r="A157" t="s">
        <v>12</v>
      </c>
      <c r="B157" t="s">
        <v>41</v>
      </c>
      <c r="C157">
        <v>2018</v>
      </c>
      <c r="D157" t="s">
        <v>14</v>
      </c>
      <c r="E157" t="s">
        <v>15</v>
      </c>
      <c r="F157" t="s">
        <v>16</v>
      </c>
      <c r="G157">
        <v>240</v>
      </c>
      <c r="H157" t="s">
        <v>30</v>
      </c>
      <c r="I157" s="3">
        <f t="shared" si="38"/>
        <v>29348.55000000001</v>
      </c>
      <c r="J157">
        <v>17050</v>
      </c>
      <c r="K157" t="s">
        <v>49</v>
      </c>
      <c r="L157" t="s">
        <v>66</v>
      </c>
    </row>
    <row r="158" spans="1:12" hidden="1" x14ac:dyDescent="0.2">
      <c r="A158" t="s">
        <v>19</v>
      </c>
      <c r="B158" t="s">
        <v>41</v>
      </c>
      <c r="C158">
        <v>2015</v>
      </c>
      <c r="D158" t="s">
        <v>14</v>
      </c>
      <c r="E158" t="s">
        <v>15</v>
      </c>
      <c r="F158" t="s">
        <v>16</v>
      </c>
      <c r="G158">
        <v>320</v>
      </c>
      <c r="H158" t="s">
        <v>42</v>
      </c>
      <c r="I158" s="3">
        <v>23000</v>
      </c>
      <c r="J158">
        <v>17050</v>
      </c>
      <c r="K158" t="s">
        <v>49</v>
      </c>
      <c r="L158" t="s">
        <v>67</v>
      </c>
    </row>
    <row r="159" spans="1:12" hidden="1" x14ac:dyDescent="0.2">
      <c r="A159" t="s">
        <v>19</v>
      </c>
      <c r="B159" t="s">
        <v>41</v>
      </c>
      <c r="C159">
        <v>2016</v>
      </c>
      <c r="D159" t="s">
        <v>14</v>
      </c>
      <c r="E159" t="s">
        <v>15</v>
      </c>
      <c r="F159" t="s">
        <v>16</v>
      </c>
      <c r="G159">
        <v>320</v>
      </c>
      <c r="H159" t="s">
        <v>42</v>
      </c>
      <c r="I159" s="3">
        <f>I158*1.1</f>
        <v>25300.000000000004</v>
      </c>
      <c r="J159">
        <v>17050</v>
      </c>
      <c r="K159" t="s">
        <v>49</v>
      </c>
      <c r="L159" t="s">
        <v>67</v>
      </c>
    </row>
    <row r="160" spans="1:12" hidden="1" x14ac:dyDescent="0.2">
      <c r="A160" t="s">
        <v>19</v>
      </c>
      <c r="B160" t="s">
        <v>41</v>
      </c>
      <c r="C160">
        <v>2017</v>
      </c>
      <c r="D160" t="s">
        <v>14</v>
      </c>
      <c r="E160" t="s">
        <v>15</v>
      </c>
      <c r="F160" t="s">
        <v>16</v>
      </c>
      <c r="G160">
        <v>320</v>
      </c>
      <c r="H160" t="s">
        <v>42</v>
      </c>
      <c r="I160" s="3">
        <f t="shared" ref="I160:I161" si="39">I159*1.1</f>
        <v>27830.000000000007</v>
      </c>
      <c r="J160">
        <v>17050</v>
      </c>
      <c r="K160" t="s">
        <v>49</v>
      </c>
      <c r="L160" t="s">
        <v>67</v>
      </c>
    </row>
    <row r="161" spans="1:12" hidden="1" x14ac:dyDescent="0.2">
      <c r="A161" t="s">
        <v>19</v>
      </c>
      <c r="B161" t="s">
        <v>41</v>
      </c>
      <c r="C161">
        <v>2018</v>
      </c>
      <c r="D161" t="s">
        <v>14</v>
      </c>
      <c r="E161" t="s">
        <v>15</v>
      </c>
      <c r="F161" t="s">
        <v>16</v>
      </c>
      <c r="G161">
        <v>320</v>
      </c>
      <c r="H161" t="s">
        <v>42</v>
      </c>
      <c r="I161" s="3">
        <f t="shared" si="39"/>
        <v>30613.000000000011</v>
      </c>
      <c r="J161">
        <v>17050</v>
      </c>
      <c r="K161" t="s">
        <v>49</v>
      </c>
      <c r="L161" t="s">
        <v>67</v>
      </c>
    </row>
    <row r="162" spans="1:12" hidden="1" x14ac:dyDescent="0.2">
      <c r="A162" t="s">
        <v>21</v>
      </c>
      <c r="B162" t="s">
        <v>41</v>
      </c>
      <c r="C162">
        <v>2015</v>
      </c>
      <c r="D162" t="s">
        <v>14</v>
      </c>
      <c r="E162" t="s">
        <v>15</v>
      </c>
      <c r="F162" t="s">
        <v>16</v>
      </c>
      <c r="G162">
        <v>260</v>
      </c>
      <c r="H162" t="s">
        <v>43</v>
      </c>
      <c r="I162" s="3">
        <v>26000</v>
      </c>
      <c r="J162">
        <v>17050</v>
      </c>
      <c r="K162" t="s">
        <v>49</v>
      </c>
      <c r="L162" t="s">
        <v>68</v>
      </c>
    </row>
    <row r="163" spans="1:12" hidden="1" x14ac:dyDescent="0.2">
      <c r="A163" t="s">
        <v>21</v>
      </c>
      <c r="B163" t="s">
        <v>41</v>
      </c>
      <c r="C163">
        <v>2016</v>
      </c>
      <c r="D163" t="s">
        <v>14</v>
      </c>
      <c r="E163" t="s">
        <v>15</v>
      </c>
      <c r="F163" t="s">
        <v>16</v>
      </c>
      <c r="G163">
        <v>260</v>
      </c>
      <c r="H163" t="s">
        <v>43</v>
      </c>
      <c r="I163" s="3">
        <f>I162*1.1</f>
        <v>28600.000000000004</v>
      </c>
      <c r="J163">
        <v>17050</v>
      </c>
      <c r="K163" t="s">
        <v>49</v>
      </c>
      <c r="L163" t="s">
        <v>68</v>
      </c>
    </row>
    <row r="164" spans="1:12" hidden="1" x14ac:dyDescent="0.2">
      <c r="A164" t="s">
        <v>21</v>
      </c>
      <c r="B164" t="s">
        <v>41</v>
      </c>
      <c r="C164">
        <v>2017</v>
      </c>
      <c r="D164" t="s">
        <v>14</v>
      </c>
      <c r="E164" t="s">
        <v>15</v>
      </c>
      <c r="F164" t="s">
        <v>16</v>
      </c>
      <c r="G164">
        <v>260</v>
      </c>
      <c r="H164" t="s">
        <v>43</v>
      </c>
      <c r="I164" s="3">
        <f t="shared" ref="I164:I165" si="40">I163*1.1</f>
        <v>31460.000000000007</v>
      </c>
      <c r="J164">
        <v>17050</v>
      </c>
      <c r="K164" t="s">
        <v>49</v>
      </c>
      <c r="L164" t="s">
        <v>68</v>
      </c>
    </row>
    <row r="165" spans="1:12" hidden="1" x14ac:dyDescent="0.2">
      <c r="A165" t="s">
        <v>21</v>
      </c>
      <c r="B165" t="s">
        <v>41</v>
      </c>
      <c r="C165">
        <v>2018</v>
      </c>
      <c r="D165" t="s">
        <v>14</v>
      </c>
      <c r="E165" t="s">
        <v>15</v>
      </c>
      <c r="F165" t="s">
        <v>16</v>
      </c>
      <c r="G165">
        <v>260</v>
      </c>
      <c r="H165" t="s">
        <v>43</v>
      </c>
      <c r="I165" s="3">
        <f t="shared" si="40"/>
        <v>34606.000000000007</v>
      </c>
      <c r="J165">
        <v>17050</v>
      </c>
      <c r="K165" t="s">
        <v>49</v>
      </c>
      <c r="L165" t="s">
        <v>68</v>
      </c>
    </row>
    <row r="166" spans="1:12" hidden="1" x14ac:dyDescent="0.2">
      <c r="A166" t="s">
        <v>23</v>
      </c>
      <c r="B166" t="s">
        <v>41</v>
      </c>
      <c r="C166">
        <v>2015</v>
      </c>
      <c r="D166" t="s">
        <v>24</v>
      </c>
      <c r="E166" t="s">
        <v>15</v>
      </c>
      <c r="F166" t="s">
        <v>16</v>
      </c>
      <c r="G166">
        <v>130</v>
      </c>
      <c r="H166" t="s">
        <v>44</v>
      </c>
      <c r="I166" s="3">
        <v>14995</v>
      </c>
      <c r="J166">
        <v>17050</v>
      </c>
      <c r="K166" t="s">
        <v>49</v>
      </c>
      <c r="L166" t="s">
        <v>69</v>
      </c>
    </row>
    <row r="167" spans="1:12" hidden="1" x14ac:dyDescent="0.2">
      <c r="A167" t="s">
        <v>23</v>
      </c>
      <c r="B167" t="s">
        <v>41</v>
      </c>
      <c r="C167">
        <v>2016</v>
      </c>
      <c r="D167" t="s">
        <v>24</v>
      </c>
      <c r="E167" t="s">
        <v>15</v>
      </c>
      <c r="F167" t="s">
        <v>16</v>
      </c>
      <c r="G167">
        <v>130</v>
      </c>
      <c r="H167" t="s">
        <v>44</v>
      </c>
      <c r="I167" s="3">
        <f>I166*1.1</f>
        <v>16494.5</v>
      </c>
      <c r="J167">
        <v>17050</v>
      </c>
      <c r="K167" t="s">
        <v>49</v>
      </c>
      <c r="L167" t="s">
        <v>69</v>
      </c>
    </row>
    <row r="168" spans="1:12" hidden="1" x14ac:dyDescent="0.2">
      <c r="A168" t="s">
        <v>23</v>
      </c>
      <c r="B168" t="s">
        <v>41</v>
      </c>
      <c r="C168">
        <v>2017</v>
      </c>
      <c r="D168" t="s">
        <v>24</v>
      </c>
      <c r="E168" t="s">
        <v>15</v>
      </c>
      <c r="F168" t="s">
        <v>16</v>
      </c>
      <c r="G168">
        <v>130</v>
      </c>
      <c r="H168" t="s">
        <v>44</v>
      </c>
      <c r="I168" s="3">
        <f t="shared" ref="I168:I169" si="41">I167*1.1</f>
        <v>18143.95</v>
      </c>
      <c r="J168">
        <v>17050</v>
      </c>
      <c r="K168" t="s">
        <v>49</v>
      </c>
      <c r="L168" t="s">
        <v>69</v>
      </c>
    </row>
    <row r="169" spans="1:12" hidden="1" x14ac:dyDescent="0.2">
      <c r="A169" t="s">
        <v>23</v>
      </c>
      <c r="B169" t="s">
        <v>41</v>
      </c>
      <c r="C169">
        <v>2018</v>
      </c>
      <c r="D169" t="s">
        <v>24</v>
      </c>
      <c r="E169" t="s">
        <v>15</v>
      </c>
      <c r="F169" t="s">
        <v>16</v>
      </c>
      <c r="G169">
        <v>130</v>
      </c>
      <c r="H169" t="s">
        <v>44</v>
      </c>
      <c r="I169" s="3">
        <f t="shared" si="41"/>
        <v>19958.345000000001</v>
      </c>
      <c r="J169">
        <v>17050</v>
      </c>
      <c r="K169" t="s">
        <v>49</v>
      </c>
      <c r="L169" t="s">
        <v>69</v>
      </c>
    </row>
    <row r="170" spans="1:12" hidden="1" x14ac:dyDescent="0.2">
      <c r="A170" t="s">
        <v>12</v>
      </c>
      <c r="B170" t="s">
        <v>45</v>
      </c>
      <c r="C170">
        <v>2015</v>
      </c>
      <c r="D170" t="s">
        <v>32</v>
      </c>
      <c r="E170" t="s">
        <v>15</v>
      </c>
      <c r="F170" t="s">
        <v>16</v>
      </c>
      <c r="G170">
        <v>275</v>
      </c>
      <c r="H170" t="s">
        <v>46</v>
      </c>
      <c r="I170" s="3">
        <v>38210</v>
      </c>
      <c r="J170">
        <v>17050</v>
      </c>
      <c r="K170" t="s">
        <v>49</v>
      </c>
      <c r="L170" t="s">
        <v>70</v>
      </c>
    </row>
    <row r="171" spans="1:12" hidden="1" x14ac:dyDescent="0.2">
      <c r="A171" t="s">
        <v>12</v>
      </c>
      <c r="B171" t="s">
        <v>45</v>
      </c>
      <c r="C171">
        <v>2016</v>
      </c>
      <c r="D171" t="s">
        <v>32</v>
      </c>
      <c r="E171" t="s">
        <v>15</v>
      </c>
      <c r="F171" t="s">
        <v>16</v>
      </c>
      <c r="G171">
        <v>275</v>
      </c>
      <c r="H171" t="s">
        <v>46</v>
      </c>
      <c r="I171" s="3">
        <f>I170*1.1</f>
        <v>42031</v>
      </c>
      <c r="J171">
        <v>17050</v>
      </c>
      <c r="K171" t="s">
        <v>49</v>
      </c>
      <c r="L171" t="s">
        <v>70</v>
      </c>
    </row>
    <row r="172" spans="1:12" hidden="1" x14ac:dyDescent="0.2">
      <c r="A172" t="s">
        <v>12</v>
      </c>
      <c r="B172" t="s">
        <v>45</v>
      </c>
      <c r="C172">
        <v>2017</v>
      </c>
      <c r="D172" t="s">
        <v>32</v>
      </c>
      <c r="E172" t="s">
        <v>15</v>
      </c>
      <c r="F172" t="s">
        <v>16</v>
      </c>
      <c r="G172">
        <v>275</v>
      </c>
      <c r="H172" t="s">
        <v>46</v>
      </c>
      <c r="I172" s="3">
        <f t="shared" ref="I172:I173" si="42">I171*1.1</f>
        <v>46234.100000000006</v>
      </c>
      <c r="J172">
        <v>17050</v>
      </c>
      <c r="K172" t="s">
        <v>49</v>
      </c>
      <c r="L172" t="s">
        <v>70</v>
      </c>
    </row>
    <row r="173" spans="1:12" hidden="1" x14ac:dyDescent="0.2">
      <c r="A173" t="s">
        <v>12</v>
      </c>
      <c r="B173" t="s">
        <v>45</v>
      </c>
      <c r="C173">
        <v>2018</v>
      </c>
      <c r="D173" t="s">
        <v>32</v>
      </c>
      <c r="E173" t="s">
        <v>15</v>
      </c>
      <c r="F173" t="s">
        <v>16</v>
      </c>
      <c r="G173">
        <v>275</v>
      </c>
      <c r="H173" t="s">
        <v>46</v>
      </c>
      <c r="I173" s="3">
        <f t="shared" si="42"/>
        <v>50857.510000000009</v>
      </c>
      <c r="J173">
        <v>17050</v>
      </c>
      <c r="K173" t="s">
        <v>49</v>
      </c>
      <c r="L173" t="s">
        <v>70</v>
      </c>
    </row>
    <row r="174" spans="1:12" hidden="1" x14ac:dyDescent="0.2">
      <c r="A174" t="s">
        <v>19</v>
      </c>
      <c r="B174" t="s">
        <v>45</v>
      </c>
      <c r="C174">
        <v>2015</v>
      </c>
      <c r="D174" t="s">
        <v>32</v>
      </c>
      <c r="E174" t="s">
        <v>15</v>
      </c>
      <c r="F174" t="s">
        <v>16</v>
      </c>
      <c r="G174">
        <v>350</v>
      </c>
      <c r="H174" t="s">
        <v>46</v>
      </c>
      <c r="I174" s="3">
        <v>40640</v>
      </c>
      <c r="J174">
        <v>17050</v>
      </c>
      <c r="K174" t="s">
        <v>49</v>
      </c>
      <c r="L174" t="s">
        <v>71</v>
      </c>
    </row>
    <row r="175" spans="1:12" hidden="1" x14ac:dyDescent="0.2">
      <c r="A175" t="s">
        <v>19</v>
      </c>
      <c r="B175" t="s">
        <v>45</v>
      </c>
      <c r="C175">
        <v>2016</v>
      </c>
      <c r="D175" t="s">
        <v>32</v>
      </c>
      <c r="E175" t="s">
        <v>15</v>
      </c>
      <c r="F175" t="s">
        <v>16</v>
      </c>
      <c r="G175">
        <v>350</v>
      </c>
      <c r="H175" t="s">
        <v>46</v>
      </c>
      <c r="I175" s="3">
        <f>I174*1.06</f>
        <v>43078.400000000001</v>
      </c>
      <c r="J175">
        <v>17050</v>
      </c>
      <c r="K175" t="s">
        <v>49</v>
      </c>
      <c r="L175" t="s">
        <v>71</v>
      </c>
    </row>
    <row r="176" spans="1:12" hidden="1" x14ac:dyDescent="0.2">
      <c r="A176" t="s">
        <v>19</v>
      </c>
      <c r="B176" t="s">
        <v>45</v>
      </c>
      <c r="C176">
        <v>2017</v>
      </c>
      <c r="D176" t="s">
        <v>32</v>
      </c>
      <c r="E176" t="s">
        <v>15</v>
      </c>
      <c r="F176" t="s">
        <v>16</v>
      </c>
      <c r="G176">
        <v>350</v>
      </c>
      <c r="H176" t="s">
        <v>46</v>
      </c>
      <c r="I176" s="3">
        <f t="shared" ref="I176:I177" si="43">I175*1.06</f>
        <v>45663.104000000007</v>
      </c>
      <c r="J176">
        <v>17050</v>
      </c>
      <c r="K176" t="s">
        <v>49</v>
      </c>
      <c r="L176" t="s">
        <v>71</v>
      </c>
    </row>
    <row r="177" spans="1:12" hidden="1" x14ac:dyDescent="0.2">
      <c r="A177" t="s">
        <v>19</v>
      </c>
      <c r="B177" t="s">
        <v>45</v>
      </c>
      <c r="C177">
        <v>2018</v>
      </c>
      <c r="D177" t="s">
        <v>32</v>
      </c>
      <c r="E177" t="s">
        <v>15</v>
      </c>
      <c r="F177" t="s">
        <v>16</v>
      </c>
      <c r="G177">
        <v>350</v>
      </c>
      <c r="H177" t="s">
        <v>46</v>
      </c>
      <c r="I177" s="3">
        <f t="shared" si="43"/>
        <v>48402.890240000008</v>
      </c>
      <c r="J177">
        <v>17050</v>
      </c>
      <c r="K177" t="s">
        <v>49</v>
      </c>
      <c r="L177" t="s">
        <v>71</v>
      </c>
    </row>
    <row r="178" spans="1:12" hidden="1" x14ac:dyDescent="0.2">
      <c r="A178" t="s">
        <v>21</v>
      </c>
      <c r="B178" t="s">
        <v>45</v>
      </c>
      <c r="C178">
        <v>2015</v>
      </c>
      <c r="D178" t="s">
        <v>32</v>
      </c>
      <c r="E178" t="s">
        <v>15</v>
      </c>
      <c r="F178" t="s">
        <v>16</v>
      </c>
      <c r="G178">
        <v>295</v>
      </c>
      <c r="H178" t="s">
        <v>47</v>
      </c>
      <c r="I178" s="3">
        <v>43270</v>
      </c>
      <c r="J178">
        <v>17050</v>
      </c>
      <c r="K178" t="s">
        <v>49</v>
      </c>
      <c r="L178" t="s">
        <v>72</v>
      </c>
    </row>
    <row r="179" spans="1:12" hidden="1" x14ac:dyDescent="0.2">
      <c r="A179" t="s">
        <v>21</v>
      </c>
      <c r="B179" t="s">
        <v>45</v>
      </c>
      <c r="C179">
        <v>2016</v>
      </c>
      <c r="D179" t="s">
        <v>32</v>
      </c>
      <c r="E179" t="s">
        <v>15</v>
      </c>
      <c r="F179" t="s">
        <v>16</v>
      </c>
      <c r="G179">
        <v>295</v>
      </c>
      <c r="H179" t="s">
        <v>47</v>
      </c>
      <c r="I179" s="3">
        <f>I178*1.06</f>
        <v>45866.200000000004</v>
      </c>
      <c r="J179">
        <v>17050</v>
      </c>
      <c r="K179" t="s">
        <v>49</v>
      </c>
      <c r="L179" t="s">
        <v>72</v>
      </c>
    </row>
    <row r="180" spans="1:12" hidden="1" x14ac:dyDescent="0.2">
      <c r="A180" t="s">
        <v>21</v>
      </c>
      <c r="B180" t="s">
        <v>45</v>
      </c>
      <c r="C180">
        <v>2017</v>
      </c>
      <c r="D180" t="s">
        <v>32</v>
      </c>
      <c r="E180" t="s">
        <v>15</v>
      </c>
      <c r="F180" t="s">
        <v>16</v>
      </c>
      <c r="G180">
        <v>295</v>
      </c>
      <c r="H180" t="s">
        <v>47</v>
      </c>
      <c r="I180" s="3">
        <f t="shared" ref="I180:I181" si="44">I179*1.06</f>
        <v>48618.172000000006</v>
      </c>
      <c r="J180">
        <v>17050</v>
      </c>
      <c r="K180" t="s">
        <v>49</v>
      </c>
      <c r="L180" t="s">
        <v>72</v>
      </c>
    </row>
    <row r="181" spans="1:12" hidden="1" x14ac:dyDescent="0.2">
      <c r="A181" t="s">
        <v>21</v>
      </c>
      <c r="B181" t="s">
        <v>45</v>
      </c>
      <c r="C181">
        <v>2018</v>
      </c>
      <c r="D181" t="s">
        <v>32</v>
      </c>
      <c r="E181" t="s">
        <v>15</v>
      </c>
      <c r="F181" t="s">
        <v>16</v>
      </c>
      <c r="G181">
        <v>295</v>
      </c>
      <c r="H181" t="s">
        <v>47</v>
      </c>
      <c r="I181" s="3">
        <f t="shared" si="44"/>
        <v>51535.262320000009</v>
      </c>
      <c r="J181">
        <v>17050</v>
      </c>
      <c r="K181" t="s">
        <v>49</v>
      </c>
      <c r="L181" t="s">
        <v>72</v>
      </c>
    </row>
    <row r="182" spans="1:12" hidden="1" x14ac:dyDescent="0.2">
      <c r="A182" t="s">
        <v>23</v>
      </c>
      <c r="B182" t="s">
        <v>45</v>
      </c>
      <c r="C182">
        <v>2015</v>
      </c>
      <c r="D182" t="s">
        <v>24</v>
      </c>
      <c r="E182" t="s">
        <v>15</v>
      </c>
      <c r="F182" t="s">
        <v>16</v>
      </c>
      <c r="G182">
        <v>134</v>
      </c>
      <c r="H182" t="s">
        <v>48</v>
      </c>
      <c r="I182" s="3">
        <v>31250</v>
      </c>
      <c r="J182">
        <v>17050</v>
      </c>
      <c r="K182" t="s">
        <v>49</v>
      </c>
      <c r="L182" t="s">
        <v>73</v>
      </c>
    </row>
    <row r="183" spans="1:12" hidden="1" x14ac:dyDescent="0.2">
      <c r="A183" t="s">
        <v>23</v>
      </c>
      <c r="B183" t="s">
        <v>45</v>
      </c>
      <c r="C183">
        <v>2016</v>
      </c>
      <c r="D183" t="s">
        <v>24</v>
      </c>
      <c r="E183" t="s">
        <v>15</v>
      </c>
      <c r="F183" t="s">
        <v>16</v>
      </c>
      <c r="G183">
        <v>134</v>
      </c>
      <c r="H183" t="s">
        <v>48</v>
      </c>
      <c r="I183" s="3">
        <f>I182*1.05</f>
        <v>32812.5</v>
      </c>
      <c r="J183">
        <v>17050</v>
      </c>
      <c r="K183" t="s">
        <v>49</v>
      </c>
      <c r="L183" t="s">
        <v>73</v>
      </c>
    </row>
    <row r="184" spans="1:12" hidden="1" x14ac:dyDescent="0.2">
      <c r="A184" t="s">
        <v>23</v>
      </c>
      <c r="B184" t="s">
        <v>45</v>
      </c>
      <c r="C184">
        <v>2017</v>
      </c>
      <c r="D184" t="s">
        <v>24</v>
      </c>
      <c r="E184" t="s">
        <v>15</v>
      </c>
      <c r="F184" t="s">
        <v>16</v>
      </c>
      <c r="G184">
        <v>134</v>
      </c>
      <c r="H184" t="s">
        <v>48</v>
      </c>
      <c r="I184" s="3">
        <f t="shared" ref="I184:I185" si="45">I183*1.05</f>
        <v>34453.125</v>
      </c>
      <c r="J184">
        <v>17050</v>
      </c>
      <c r="K184" t="s">
        <v>49</v>
      </c>
      <c r="L184" t="s">
        <v>73</v>
      </c>
    </row>
    <row r="185" spans="1:12" hidden="1" x14ac:dyDescent="0.2">
      <c r="A185" t="s">
        <v>23</v>
      </c>
      <c r="B185" t="s">
        <v>45</v>
      </c>
      <c r="C185">
        <v>2018</v>
      </c>
      <c r="D185" t="s">
        <v>24</v>
      </c>
      <c r="E185" t="s">
        <v>15</v>
      </c>
      <c r="F185" t="s">
        <v>16</v>
      </c>
      <c r="G185">
        <v>134</v>
      </c>
      <c r="H185" t="s">
        <v>48</v>
      </c>
      <c r="I185" s="3">
        <f t="shared" si="45"/>
        <v>36175.78125</v>
      </c>
      <c r="J185">
        <v>17050</v>
      </c>
      <c r="K185" t="s">
        <v>49</v>
      </c>
      <c r="L185" t="s">
        <v>73</v>
      </c>
    </row>
    <row r="186" spans="1:12" hidden="1" x14ac:dyDescent="0.2">
      <c r="A186" t="s">
        <v>12</v>
      </c>
      <c r="B186" t="s">
        <v>13</v>
      </c>
      <c r="C186">
        <v>2015</v>
      </c>
      <c r="D186" t="s">
        <v>14</v>
      </c>
      <c r="E186" t="s">
        <v>15</v>
      </c>
      <c r="F186" t="s">
        <v>16</v>
      </c>
      <c r="G186">
        <v>177</v>
      </c>
      <c r="H186" t="s">
        <v>17</v>
      </c>
      <c r="I186" s="3">
        <v>17950</v>
      </c>
      <c r="J186">
        <v>20000</v>
      </c>
      <c r="K186" t="s">
        <v>51</v>
      </c>
      <c r="L186" t="s">
        <v>52</v>
      </c>
    </row>
    <row r="187" spans="1:12" hidden="1" x14ac:dyDescent="0.2">
      <c r="A187" t="s">
        <v>12</v>
      </c>
      <c r="B187" t="s">
        <v>13</v>
      </c>
      <c r="C187">
        <v>2016</v>
      </c>
      <c r="D187" t="s">
        <v>14</v>
      </c>
      <c r="E187" t="s">
        <v>15</v>
      </c>
      <c r="F187" t="s">
        <v>16</v>
      </c>
      <c r="G187">
        <v>177</v>
      </c>
      <c r="H187" t="s">
        <v>17</v>
      </c>
      <c r="I187" s="3">
        <f>I186*1.1</f>
        <v>19745</v>
      </c>
      <c r="J187">
        <v>20000</v>
      </c>
      <c r="K187" t="s">
        <v>51</v>
      </c>
      <c r="L187" t="s">
        <v>52</v>
      </c>
    </row>
    <row r="188" spans="1:12" hidden="1" x14ac:dyDescent="0.2">
      <c r="A188" t="s">
        <v>12</v>
      </c>
      <c r="B188" t="s">
        <v>13</v>
      </c>
      <c r="C188">
        <v>2017</v>
      </c>
      <c r="D188" t="s">
        <v>14</v>
      </c>
      <c r="E188" t="s">
        <v>15</v>
      </c>
      <c r="F188" t="s">
        <v>16</v>
      </c>
      <c r="G188">
        <v>177</v>
      </c>
      <c r="H188" t="s">
        <v>17</v>
      </c>
      <c r="I188" s="3">
        <f t="shared" ref="I188:I189" si="46">I187*1.1</f>
        <v>21719.5</v>
      </c>
      <c r="J188">
        <v>20000</v>
      </c>
      <c r="K188" t="s">
        <v>51</v>
      </c>
      <c r="L188" t="s">
        <v>52</v>
      </c>
    </row>
    <row r="189" spans="1:12" hidden="1" x14ac:dyDescent="0.2">
      <c r="A189" t="s">
        <v>12</v>
      </c>
      <c r="B189" t="s">
        <v>13</v>
      </c>
      <c r="C189">
        <v>2018</v>
      </c>
      <c r="D189" t="s">
        <v>14</v>
      </c>
      <c r="E189" t="s">
        <v>15</v>
      </c>
      <c r="F189" t="s">
        <v>16</v>
      </c>
      <c r="G189">
        <v>177</v>
      </c>
      <c r="H189" t="s">
        <v>17</v>
      </c>
      <c r="I189" s="3">
        <f t="shared" si="46"/>
        <v>23891.45</v>
      </c>
      <c r="J189">
        <v>20000</v>
      </c>
      <c r="K189" t="s">
        <v>51</v>
      </c>
      <c r="L189" t="s">
        <v>52</v>
      </c>
    </row>
    <row r="190" spans="1:12" hidden="1" x14ac:dyDescent="0.2">
      <c r="A190" t="s">
        <v>19</v>
      </c>
      <c r="B190" t="s">
        <v>13</v>
      </c>
      <c r="C190">
        <v>2015</v>
      </c>
      <c r="D190" t="s">
        <v>14</v>
      </c>
      <c r="E190" t="s">
        <v>15</v>
      </c>
      <c r="F190" t="s">
        <v>16</v>
      </c>
      <c r="G190">
        <v>350</v>
      </c>
      <c r="H190" t="s">
        <v>20</v>
      </c>
      <c r="I190" s="3">
        <v>25680</v>
      </c>
      <c r="J190">
        <v>20000</v>
      </c>
      <c r="K190" t="s">
        <v>51</v>
      </c>
      <c r="L190" t="s">
        <v>53</v>
      </c>
    </row>
    <row r="191" spans="1:12" hidden="1" x14ac:dyDescent="0.2">
      <c r="A191" t="s">
        <v>19</v>
      </c>
      <c r="B191" t="s">
        <v>13</v>
      </c>
      <c r="C191">
        <v>2016</v>
      </c>
      <c r="D191" t="s">
        <v>14</v>
      </c>
      <c r="E191" t="s">
        <v>15</v>
      </c>
      <c r="F191" t="s">
        <v>16</v>
      </c>
      <c r="G191">
        <v>350</v>
      </c>
      <c r="H191" t="s">
        <v>20</v>
      </c>
      <c r="I191" s="3">
        <f>I190*1.1</f>
        <v>28248.000000000004</v>
      </c>
      <c r="J191">
        <v>20000</v>
      </c>
      <c r="K191" t="s">
        <v>51</v>
      </c>
      <c r="L191" t="s">
        <v>53</v>
      </c>
    </row>
    <row r="192" spans="1:12" hidden="1" x14ac:dyDescent="0.2">
      <c r="A192" t="s">
        <v>19</v>
      </c>
      <c r="B192" t="s">
        <v>13</v>
      </c>
      <c r="C192">
        <v>2017</v>
      </c>
      <c r="D192" t="s">
        <v>14</v>
      </c>
      <c r="E192" t="s">
        <v>15</v>
      </c>
      <c r="F192" t="s">
        <v>16</v>
      </c>
      <c r="G192">
        <v>350</v>
      </c>
      <c r="H192" t="s">
        <v>20</v>
      </c>
      <c r="I192" s="3">
        <f t="shared" ref="I192" si="47">I191*1.1</f>
        <v>31072.800000000007</v>
      </c>
      <c r="J192">
        <v>20000</v>
      </c>
      <c r="K192" t="s">
        <v>51</v>
      </c>
      <c r="L192" t="s">
        <v>53</v>
      </c>
    </row>
    <row r="193" spans="1:12" hidden="1" x14ac:dyDescent="0.2">
      <c r="A193" t="s">
        <v>19</v>
      </c>
      <c r="B193" t="s">
        <v>13</v>
      </c>
      <c r="C193">
        <v>2018</v>
      </c>
      <c r="D193" t="s">
        <v>14</v>
      </c>
      <c r="E193" t="s">
        <v>15</v>
      </c>
      <c r="F193" t="s">
        <v>16</v>
      </c>
      <c r="G193">
        <v>350</v>
      </c>
      <c r="H193" t="s">
        <v>20</v>
      </c>
      <c r="I193" s="3">
        <f>I192*1.1</f>
        <v>34180.080000000009</v>
      </c>
      <c r="J193">
        <v>20000</v>
      </c>
      <c r="K193" t="s">
        <v>51</v>
      </c>
      <c r="L193" t="s">
        <v>53</v>
      </c>
    </row>
    <row r="194" spans="1:12" hidden="1" x14ac:dyDescent="0.2">
      <c r="A194" t="s">
        <v>21</v>
      </c>
      <c r="B194" t="s">
        <v>13</v>
      </c>
      <c r="C194">
        <v>2015</v>
      </c>
      <c r="D194" t="s">
        <v>14</v>
      </c>
      <c r="E194" t="s">
        <v>15</v>
      </c>
      <c r="F194" t="s">
        <v>16</v>
      </c>
      <c r="G194">
        <v>245</v>
      </c>
      <c r="H194" t="s">
        <v>22</v>
      </c>
      <c r="I194" s="3">
        <v>29315</v>
      </c>
      <c r="J194">
        <v>20000</v>
      </c>
      <c r="K194" t="s">
        <v>51</v>
      </c>
      <c r="L194" t="s">
        <v>54</v>
      </c>
    </row>
    <row r="195" spans="1:12" hidden="1" x14ac:dyDescent="0.2">
      <c r="A195" t="s">
        <v>21</v>
      </c>
      <c r="B195" t="s">
        <v>13</v>
      </c>
      <c r="C195">
        <v>2016</v>
      </c>
      <c r="D195" t="s">
        <v>14</v>
      </c>
      <c r="E195" t="s">
        <v>15</v>
      </c>
      <c r="F195" t="s">
        <v>16</v>
      </c>
      <c r="G195">
        <v>245</v>
      </c>
      <c r="H195" t="s">
        <v>22</v>
      </c>
      <c r="I195" s="3">
        <f>I194*1.1</f>
        <v>32246.500000000004</v>
      </c>
      <c r="J195">
        <v>20000</v>
      </c>
      <c r="K195" t="s">
        <v>51</v>
      </c>
      <c r="L195" t="s">
        <v>54</v>
      </c>
    </row>
    <row r="196" spans="1:12" hidden="1" x14ac:dyDescent="0.2">
      <c r="A196" t="s">
        <v>21</v>
      </c>
      <c r="B196" t="s">
        <v>13</v>
      </c>
      <c r="C196">
        <v>2017</v>
      </c>
      <c r="D196" t="s">
        <v>14</v>
      </c>
      <c r="E196" t="s">
        <v>15</v>
      </c>
      <c r="F196" t="s">
        <v>16</v>
      </c>
      <c r="G196">
        <v>245</v>
      </c>
      <c r="H196" t="s">
        <v>22</v>
      </c>
      <c r="I196" s="3">
        <f t="shared" ref="I196:I197" si="48">I195*1.1</f>
        <v>35471.150000000009</v>
      </c>
      <c r="J196">
        <v>20000</v>
      </c>
      <c r="K196" t="s">
        <v>51</v>
      </c>
      <c r="L196" t="s">
        <v>54</v>
      </c>
    </row>
    <row r="197" spans="1:12" hidden="1" x14ac:dyDescent="0.2">
      <c r="A197" t="s">
        <v>21</v>
      </c>
      <c r="B197" t="s">
        <v>13</v>
      </c>
      <c r="C197">
        <v>2018</v>
      </c>
      <c r="D197" t="s">
        <v>14</v>
      </c>
      <c r="E197" t="s">
        <v>15</v>
      </c>
      <c r="F197" t="s">
        <v>16</v>
      </c>
      <c r="G197">
        <v>245</v>
      </c>
      <c r="H197" t="s">
        <v>22</v>
      </c>
      <c r="I197" s="3">
        <f t="shared" si="48"/>
        <v>39018.265000000014</v>
      </c>
      <c r="J197">
        <v>20000</v>
      </c>
      <c r="K197" t="s">
        <v>51</v>
      </c>
      <c r="L197" t="s">
        <v>54</v>
      </c>
    </row>
    <row r="198" spans="1:12" hidden="1" x14ac:dyDescent="0.2">
      <c r="A198" t="s">
        <v>23</v>
      </c>
      <c r="B198" t="s">
        <v>13</v>
      </c>
      <c r="C198">
        <v>2015</v>
      </c>
      <c r="D198" t="s">
        <v>24</v>
      </c>
      <c r="E198" t="s">
        <v>15</v>
      </c>
      <c r="F198" t="s">
        <v>16</v>
      </c>
      <c r="G198">
        <v>185</v>
      </c>
      <c r="H198" t="s">
        <v>25</v>
      </c>
      <c r="I198" s="3">
        <v>17950</v>
      </c>
      <c r="J198">
        <v>20000</v>
      </c>
      <c r="K198" t="s">
        <v>51</v>
      </c>
      <c r="L198" t="s">
        <v>52</v>
      </c>
    </row>
    <row r="199" spans="1:12" hidden="1" x14ac:dyDescent="0.2">
      <c r="A199" t="s">
        <v>23</v>
      </c>
      <c r="B199" t="s">
        <v>13</v>
      </c>
      <c r="C199">
        <v>2016</v>
      </c>
      <c r="D199" t="s">
        <v>24</v>
      </c>
      <c r="E199" t="s">
        <v>15</v>
      </c>
      <c r="F199" t="s">
        <v>16</v>
      </c>
      <c r="G199">
        <v>185</v>
      </c>
      <c r="H199" t="s">
        <v>25</v>
      </c>
      <c r="I199" s="3">
        <f>I198*1.1</f>
        <v>19745</v>
      </c>
      <c r="J199">
        <v>20000</v>
      </c>
      <c r="K199" t="s">
        <v>51</v>
      </c>
      <c r="L199" t="s">
        <v>52</v>
      </c>
    </row>
    <row r="200" spans="1:12" hidden="1" x14ac:dyDescent="0.2">
      <c r="A200" t="s">
        <v>23</v>
      </c>
      <c r="B200" t="s">
        <v>13</v>
      </c>
      <c r="C200">
        <v>2017</v>
      </c>
      <c r="D200" t="s">
        <v>24</v>
      </c>
      <c r="E200" t="s">
        <v>15</v>
      </c>
      <c r="F200" t="s">
        <v>16</v>
      </c>
      <c r="G200">
        <v>185</v>
      </c>
      <c r="H200" t="s">
        <v>25</v>
      </c>
      <c r="I200" s="3">
        <f t="shared" ref="I200:I201" si="49">I199*1.1</f>
        <v>21719.5</v>
      </c>
      <c r="J200">
        <v>20000</v>
      </c>
      <c r="K200" t="s">
        <v>51</v>
      </c>
      <c r="L200" t="s">
        <v>52</v>
      </c>
    </row>
    <row r="201" spans="1:12" hidden="1" x14ac:dyDescent="0.2">
      <c r="A201" t="s">
        <v>23</v>
      </c>
      <c r="B201" t="s">
        <v>13</v>
      </c>
      <c r="C201">
        <v>2018</v>
      </c>
      <c r="D201" t="s">
        <v>24</v>
      </c>
      <c r="E201" t="s">
        <v>15</v>
      </c>
      <c r="F201" t="s">
        <v>16</v>
      </c>
      <c r="G201">
        <v>185</v>
      </c>
      <c r="H201" t="s">
        <v>25</v>
      </c>
      <c r="I201" s="3">
        <f t="shared" si="49"/>
        <v>23891.45</v>
      </c>
      <c r="J201">
        <v>20000</v>
      </c>
      <c r="K201" t="s">
        <v>51</v>
      </c>
      <c r="L201" t="s">
        <v>52</v>
      </c>
    </row>
    <row r="202" spans="1:12" hidden="1" x14ac:dyDescent="0.2">
      <c r="A202" t="s">
        <v>12</v>
      </c>
      <c r="B202" t="s">
        <v>26</v>
      </c>
      <c r="C202">
        <v>2015</v>
      </c>
      <c r="D202" t="s">
        <v>14</v>
      </c>
      <c r="E202" t="s">
        <v>15</v>
      </c>
      <c r="F202" t="s">
        <v>16</v>
      </c>
      <c r="G202">
        <v>266</v>
      </c>
      <c r="H202" t="s">
        <v>27</v>
      </c>
      <c r="I202" s="3">
        <v>27895</v>
      </c>
      <c r="J202">
        <v>20000</v>
      </c>
      <c r="K202" t="s">
        <v>51</v>
      </c>
      <c r="L202" t="s">
        <v>55</v>
      </c>
    </row>
    <row r="203" spans="1:12" hidden="1" x14ac:dyDescent="0.2">
      <c r="A203" t="s">
        <v>12</v>
      </c>
      <c r="B203" t="s">
        <v>26</v>
      </c>
      <c r="C203">
        <v>2016</v>
      </c>
      <c r="D203" t="s">
        <v>14</v>
      </c>
      <c r="E203" t="s">
        <v>15</v>
      </c>
      <c r="F203" t="s">
        <v>16</v>
      </c>
      <c r="G203">
        <v>266</v>
      </c>
      <c r="H203" t="s">
        <v>27</v>
      </c>
      <c r="I203" s="3">
        <f>I202*1.1</f>
        <v>30684.500000000004</v>
      </c>
      <c r="J203">
        <v>20000</v>
      </c>
      <c r="K203" t="s">
        <v>51</v>
      </c>
      <c r="L203" t="s">
        <v>55</v>
      </c>
    </row>
    <row r="204" spans="1:12" hidden="1" x14ac:dyDescent="0.2">
      <c r="A204" t="s">
        <v>12</v>
      </c>
      <c r="B204" t="s">
        <v>26</v>
      </c>
      <c r="C204">
        <v>2017</v>
      </c>
      <c r="D204" t="s">
        <v>14</v>
      </c>
      <c r="E204" t="s">
        <v>15</v>
      </c>
      <c r="F204" t="s">
        <v>16</v>
      </c>
      <c r="G204">
        <v>266</v>
      </c>
      <c r="H204" t="s">
        <v>27</v>
      </c>
      <c r="I204" s="3">
        <f t="shared" ref="I204:I205" si="50">I203*1.1</f>
        <v>33752.950000000004</v>
      </c>
      <c r="J204">
        <v>20000</v>
      </c>
      <c r="K204" t="s">
        <v>51</v>
      </c>
      <c r="L204" t="s">
        <v>55</v>
      </c>
    </row>
    <row r="205" spans="1:12" hidden="1" x14ac:dyDescent="0.2">
      <c r="A205" t="s">
        <v>12</v>
      </c>
      <c r="B205" t="s">
        <v>26</v>
      </c>
      <c r="C205">
        <v>2018</v>
      </c>
      <c r="D205" t="s">
        <v>14</v>
      </c>
      <c r="E205" t="s">
        <v>15</v>
      </c>
      <c r="F205" t="s">
        <v>16</v>
      </c>
      <c r="G205">
        <v>266</v>
      </c>
      <c r="H205" t="s">
        <v>27</v>
      </c>
      <c r="I205" s="3">
        <f t="shared" si="50"/>
        <v>37128.24500000001</v>
      </c>
      <c r="J205">
        <v>20000</v>
      </c>
      <c r="K205" t="s">
        <v>51</v>
      </c>
      <c r="L205" t="s">
        <v>55</v>
      </c>
    </row>
    <row r="206" spans="1:12" hidden="1" x14ac:dyDescent="0.2">
      <c r="A206" t="s">
        <v>19</v>
      </c>
      <c r="B206" t="s">
        <v>26</v>
      </c>
      <c r="C206">
        <v>2015</v>
      </c>
      <c r="D206" t="s">
        <v>14</v>
      </c>
      <c r="E206" t="s">
        <v>15</v>
      </c>
      <c r="F206" t="s">
        <v>16</v>
      </c>
      <c r="G206">
        <v>350</v>
      </c>
      <c r="H206" t="s">
        <v>28</v>
      </c>
      <c r="I206" s="3">
        <v>27000</v>
      </c>
      <c r="J206">
        <v>20000</v>
      </c>
      <c r="K206" t="s">
        <v>51</v>
      </c>
      <c r="L206" t="s">
        <v>56</v>
      </c>
    </row>
    <row r="207" spans="1:12" hidden="1" x14ac:dyDescent="0.2">
      <c r="A207" t="s">
        <v>19</v>
      </c>
      <c r="B207" t="s">
        <v>26</v>
      </c>
      <c r="C207">
        <v>2016</v>
      </c>
      <c r="D207" t="s">
        <v>14</v>
      </c>
      <c r="E207" t="s">
        <v>15</v>
      </c>
      <c r="F207" t="s">
        <v>16</v>
      </c>
      <c r="G207">
        <v>350</v>
      </c>
      <c r="H207" t="s">
        <v>28</v>
      </c>
      <c r="I207" s="3">
        <f>I206*1.05</f>
        <v>28350</v>
      </c>
      <c r="J207">
        <v>20000</v>
      </c>
      <c r="K207" t="s">
        <v>51</v>
      </c>
      <c r="L207" t="s">
        <v>56</v>
      </c>
    </row>
    <row r="208" spans="1:12" hidden="1" x14ac:dyDescent="0.2">
      <c r="A208" t="s">
        <v>19</v>
      </c>
      <c r="B208" t="s">
        <v>26</v>
      </c>
      <c r="C208">
        <v>2017</v>
      </c>
      <c r="D208" t="s">
        <v>14</v>
      </c>
      <c r="E208" t="s">
        <v>15</v>
      </c>
      <c r="F208" t="s">
        <v>16</v>
      </c>
      <c r="G208">
        <v>350</v>
      </c>
      <c r="H208" t="s">
        <v>28</v>
      </c>
      <c r="I208" s="3">
        <f t="shared" ref="I208:I209" si="51">I207*1.05</f>
        <v>29767.5</v>
      </c>
      <c r="J208">
        <v>20000</v>
      </c>
      <c r="K208" t="s">
        <v>51</v>
      </c>
      <c r="L208" t="s">
        <v>56</v>
      </c>
    </row>
    <row r="209" spans="1:12" hidden="1" x14ac:dyDescent="0.2">
      <c r="A209" t="s">
        <v>19</v>
      </c>
      <c r="B209" t="s">
        <v>26</v>
      </c>
      <c r="C209">
        <v>2018</v>
      </c>
      <c r="D209" t="s">
        <v>14</v>
      </c>
      <c r="E209" t="s">
        <v>15</v>
      </c>
      <c r="F209" t="s">
        <v>16</v>
      </c>
      <c r="G209">
        <v>350</v>
      </c>
      <c r="H209" t="s">
        <v>28</v>
      </c>
      <c r="I209" s="3">
        <f t="shared" si="51"/>
        <v>31255.875</v>
      </c>
      <c r="J209">
        <v>20000</v>
      </c>
      <c r="K209" t="s">
        <v>51</v>
      </c>
      <c r="L209" t="s">
        <v>56</v>
      </c>
    </row>
    <row r="210" spans="1:12" hidden="1" x14ac:dyDescent="0.2">
      <c r="A210" t="s">
        <v>21</v>
      </c>
      <c r="B210" t="s">
        <v>26</v>
      </c>
      <c r="C210">
        <v>2015</v>
      </c>
      <c r="D210" t="s">
        <v>14</v>
      </c>
      <c r="E210" t="s">
        <v>15</v>
      </c>
      <c r="F210" t="s">
        <v>16</v>
      </c>
      <c r="G210">
        <v>355</v>
      </c>
      <c r="H210" t="s">
        <v>29</v>
      </c>
      <c r="I210" s="3">
        <v>52000</v>
      </c>
      <c r="J210">
        <v>20000</v>
      </c>
      <c r="K210" t="s">
        <v>51</v>
      </c>
      <c r="L210" t="s">
        <v>57</v>
      </c>
    </row>
    <row r="211" spans="1:12" hidden="1" x14ac:dyDescent="0.2">
      <c r="A211" t="s">
        <v>21</v>
      </c>
      <c r="B211" t="s">
        <v>26</v>
      </c>
      <c r="C211">
        <v>2016</v>
      </c>
      <c r="D211" t="s">
        <v>14</v>
      </c>
      <c r="E211" t="s">
        <v>15</v>
      </c>
      <c r="F211" t="s">
        <v>16</v>
      </c>
      <c r="G211">
        <v>355</v>
      </c>
      <c r="H211" t="s">
        <v>29</v>
      </c>
      <c r="I211" s="3">
        <f>I210*1.1</f>
        <v>57200.000000000007</v>
      </c>
      <c r="J211">
        <v>20000</v>
      </c>
      <c r="K211" t="s">
        <v>51</v>
      </c>
      <c r="L211" t="s">
        <v>57</v>
      </c>
    </row>
    <row r="212" spans="1:12" hidden="1" x14ac:dyDescent="0.2">
      <c r="A212" t="s">
        <v>21</v>
      </c>
      <c r="B212" t="s">
        <v>26</v>
      </c>
      <c r="C212">
        <v>2017</v>
      </c>
      <c r="D212" t="s">
        <v>14</v>
      </c>
      <c r="E212" t="s">
        <v>15</v>
      </c>
      <c r="F212" t="s">
        <v>16</v>
      </c>
      <c r="G212">
        <v>355</v>
      </c>
      <c r="H212" t="s">
        <v>29</v>
      </c>
      <c r="I212" s="3">
        <f t="shared" ref="I212:I213" si="52">I211*1.1</f>
        <v>62920.000000000015</v>
      </c>
      <c r="J212">
        <v>20000</v>
      </c>
      <c r="K212" t="s">
        <v>51</v>
      </c>
      <c r="L212" t="s">
        <v>57</v>
      </c>
    </row>
    <row r="213" spans="1:12" hidden="1" x14ac:dyDescent="0.2">
      <c r="A213" t="s">
        <v>21</v>
      </c>
      <c r="B213" t="s">
        <v>26</v>
      </c>
      <c r="C213">
        <v>2018</v>
      </c>
      <c r="D213" t="s">
        <v>14</v>
      </c>
      <c r="E213" t="s">
        <v>15</v>
      </c>
      <c r="F213" t="s">
        <v>16</v>
      </c>
      <c r="G213">
        <v>355</v>
      </c>
      <c r="H213" t="s">
        <v>29</v>
      </c>
      <c r="I213" s="3">
        <f t="shared" si="52"/>
        <v>69212.000000000015</v>
      </c>
      <c r="J213">
        <v>20000</v>
      </c>
      <c r="K213" t="s">
        <v>51</v>
      </c>
      <c r="L213" t="s">
        <v>57</v>
      </c>
    </row>
    <row r="214" spans="1:12" hidden="1" x14ac:dyDescent="0.2">
      <c r="A214" t="s">
        <v>23</v>
      </c>
      <c r="B214" t="s">
        <v>26</v>
      </c>
      <c r="C214">
        <v>2015</v>
      </c>
      <c r="D214" t="s">
        <v>24</v>
      </c>
      <c r="E214" t="s">
        <v>15</v>
      </c>
      <c r="F214" t="s">
        <v>16</v>
      </c>
      <c r="G214">
        <v>138</v>
      </c>
      <c r="H214" t="s">
        <v>30</v>
      </c>
      <c r="I214" s="3">
        <v>15295</v>
      </c>
      <c r="J214">
        <v>20000</v>
      </c>
      <c r="K214" t="s">
        <v>51</v>
      </c>
      <c r="L214" t="s">
        <v>58</v>
      </c>
    </row>
    <row r="215" spans="1:12" hidden="1" x14ac:dyDescent="0.2">
      <c r="A215" t="s">
        <v>23</v>
      </c>
      <c r="B215" t="s">
        <v>26</v>
      </c>
      <c r="C215">
        <v>2016</v>
      </c>
      <c r="D215" t="s">
        <v>24</v>
      </c>
      <c r="E215" t="s">
        <v>15</v>
      </c>
      <c r="F215" t="s">
        <v>16</v>
      </c>
      <c r="G215">
        <v>138</v>
      </c>
      <c r="H215" t="s">
        <v>30</v>
      </c>
      <c r="I215" s="3">
        <f>I214*1.1</f>
        <v>16824.5</v>
      </c>
      <c r="J215">
        <v>20000</v>
      </c>
      <c r="K215" t="s">
        <v>51</v>
      </c>
      <c r="L215" t="s">
        <v>58</v>
      </c>
    </row>
    <row r="216" spans="1:12" hidden="1" x14ac:dyDescent="0.2">
      <c r="A216" t="s">
        <v>23</v>
      </c>
      <c r="B216" t="s">
        <v>26</v>
      </c>
      <c r="C216">
        <v>2017</v>
      </c>
      <c r="D216" t="s">
        <v>24</v>
      </c>
      <c r="E216" t="s">
        <v>15</v>
      </c>
      <c r="F216" t="s">
        <v>16</v>
      </c>
      <c r="G216">
        <v>138</v>
      </c>
      <c r="H216" t="s">
        <v>30</v>
      </c>
      <c r="I216" s="3">
        <f t="shared" ref="I216:I217" si="53">I215*1.1</f>
        <v>18506.95</v>
      </c>
      <c r="J216">
        <v>20000</v>
      </c>
      <c r="K216" t="s">
        <v>51</v>
      </c>
      <c r="L216" t="s">
        <v>58</v>
      </c>
    </row>
    <row r="217" spans="1:12" hidden="1" x14ac:dyDescent="0.2">
      <c r="A217" t="s">
        <v>23</v>
      </c>
      <c r="B217" t="s">
        <v>26</v>
      </c>
      <c r="C217">
        <v>2018</v>
      </c>
      <c r="D217" t="s">
        <v>24</v>
      </c>
      <c r="E217" t="s">
        <v>15</v>
      </c>
      <c r="F217" t="s">
        <v>16</v>
      </c>
      <c r="G217">
        <v>138</v>
      </c>
      <c r="H217" t="s">
        <v>30</v>
      </c>
      <c r="I217" s="3">
        <f t="shared" si="53"/>
        <v>20357.645000000004</v>
      </c>
      <c r="J217">
        <v>20000</v>
      </c>
      <c r="K217" t="s">
        <v>51</v>
      </c>
      <c r="L217" t="s">
        <v>58</v>
      </c>
    </row>
    <row r="218" spans="1:12" x14ac:dyDescent="0.2">
      <c r="A218" t="s">
        <v>12</v>
      </c>
      <c r="B218" t="s">
        <v>31</v>
      </c>
      <c r="C218">
        <v>2015</v>
      </c>
      <c r="D218" t="s">
        <v>32</v>
      </c>
      <c r="E218" t="s">
        <v>15</v>
      </c>
      <c r="F218" t="s">
        <v>16</v>
      </c>
      <c r="G218">
        <v>290</v>
      </c>
      <c r="H218" t="s">
        <v>33</v>
      </c>
      <c r="I218" s="3">
        <v>34900</v>
      </c>
      <c r="J218">
        <v>20000</v>
      </c>
      <c r="K218" t="s">
        <v>51</v>
      </c>
      <c r="L218" t="s">
        <v>59</v>
      </c>
    </row>
    <row r="219" spans="1:12" x14ac:dyDescent="0.2">
      <c r="A219" t="s">
        <v>12</v>
      </c>
      <c r="B219" t="s">
        <v>31</v>
      </c>
      <c r="C219">
        <v>2016</v>
      </c>
      <c r="D219" t="s">
        <v>32</v>
      </c>
      <c r="E219" t="s">
        <v>15</v>
      </c>
      <c r="F219" t="s">
        <v>16</v>
      </c>
      <c r="G219">
        <v>290</v>
      </c>
      <c r="H219" t="s">
        <v>33</v>
      </c>
      <c r="I219" s="3">
        <f>34900*1.1</f>
        <v>38390</v>
      </c>
      <c r="J219">
        <v>20000</v>
      </c>
      <c r="K219" t="s">
        <v>51</v>
      </c>
      <c r="L219" t="s">
        <v>59</v>
      </c>
    </row>
    <row r="220" spans="1:12" x14ac:dyDescent="0.2">
      <c r="A220" t="s">
        <v>12</v>
      </c>
      <c r="B220" t="s">
        <v>31</v>
      </c>
      <c r="C220">
        <v>2017</v>
      </c>
      <c r="D220" t="s">
        <v>32</v>
      </c>
      <c r="E220" t="s">
        <v>15</v>
      </c>
      <c r="F220" t="s">
        <v>16</v>
      </c>
      <c r="G220">
        <v>290</v>
      </c>
      <c r="H220" t="s">
        <v>33</v>
      </c>
      <c r="I220" s="3">
        <f t="shared" ref="I220:I221" si="54">34900*1.1</f>
        <v>38390</v>
      </c>
      <c r="J220">
        <v>20000</v>
      </c>
      <c r="K220" t="s">
        <v>51</v>
      </c>
      <c r="L220" t="s">
        <v>59</v>
      </c>
    </row>
    <row r="221" spans="1:12" x14ac:dyDescent="0.2">
      <c r="A221" t="s">
        <v>12</v>
      </c>
      <c r="B221" t="s">
        <v>31</v>
      </c>
      <c r="C221">
        <v>2018</v>
      </c>
      <c r="D221" t="s">
        <v>32</v>
      </c>
      <c r="E221" t="s">
        <v>15</v>
      </c>
      <c r="F221" t="s">
        <v>16</v>
      </c>
      <c r="G221">
        <v>290</v>
      </c>
      <c r="H221" t="s">
        <v>33</v>
      </c>
      <c r="I221" s="3">
        <f t="shared" si="54"/>
        <v>38390</v>
      </c>
      <c r="J221">
        <v>20000</v>
      </c>
      <c r="K221" t="s">
        <v>51</v>
      </c>
      <c r="L221" t="s">
        <v>59</v>
      </c>
    </row>
    <row r="222" spans="1:12" x14ac:dyDescent="0.2">
      <c r="A222" t="s">
        <v>12</v>
      </c>
      <c r="B222" t="s">
        <v>31</v>
      </c>
      <c r="C222">
        <v>2015</v>
      </c>
      <c r="D222" t="s">
        <v>32</v>
      </c>
      <c r="E222" t="s">
        <v>34</v>
      </c>
      <c r="F222" t="s">
        <v>16</v>
      </c>
      <c r="G222">
        <v>335</v>
      </c>
      <c r="H222" t="s">
        <v>35</v>
      </c>
      <c r="I222" s="3">
        <v>52650</v>
      </c>
      <c r="J222">
        <v>20000</v>
      </c>
      <c r="K222" t="s">
        <v>51</v>
      </c>
      <c r="L222" t="s">
        <v>60</v>
      </c>
    </row>
    <row r="223" spans="1:12" x14ac:dyDescent="0.2">
      <c r="A223" t="s">
        <v>12</v>
      </c>
      <c r="B223" t="s">
        <v>31</v>
      </c>
      <c r="C223">
        <v>2016</v>
      </c>
      <c r="D223" t="s">
        <v>32</v>
      </c>
      <c r="E223" t="s">
        <v>34</v>
      </c>
      <c r="F223" t="s">
        <v>16</v>
      </c>
      <c r="G223">
        <v>335</v>
      </c>
      <c r="H223" t="s">
        <v>35</v>
      </c>
      <c r="I223" s="3">
        <f>52650*1.1</f>
        <v>57915.000000000007</v>
      </c>
      <c r="J223">
        <v>20000</v>
      </c>
      <c r="K223" t="s">
        <v>51</v>
      </c>
      <c r="L223" t="s">
        <v>60</v>
      </c>
    </row>
    <row r="224" spans="1:12" x14ac:dyDescent="0.2">
      <c r="A224" t="s">
        <v>12</v>
      </c>
      <c r="B224" t="s">
        <v>31</v>
      </c>
      <c r="C224">
        <v>2017</v>
      </c>
      <c r="D224" t="s">
        <v>32</v>
      </c>
      <c r="E224" t="s">
        <v>34</v>
      </c>
      <c r="F224" t="s">
        <v>16</v>
      </c>
      <c r="G224">
        <v>335</v>
      </c>
      <c r="H224" t="s">
        <v>35</v>
      </c>
      <c r="I224" s="3">
        <f t="shared" ref="I224:I225" si="55">52650*1.1</f>
        <v>57915.000000000007</v>
      </c>
      <c r="J224">
        <v>20000</v>
      </c>
      <c r="K224" t="s">
        <v>51</v>
      </c>
      <c r="L224" t="s">
        <v>60</v>
      </c>
    </row>
    <row r="225" spans="1:12" x14ac:dyDescent="0.2">
      <c r="A225" t="s">
        <v>12</v>
      </c>
      <c r="B225" t="s">
        <v>31</v>
      </c>
      <c r="C225">
        <v>2018</v>
      </c>
      <c r="D225" t="s">
        <v>32</v>
      </c>
      <c r="E225" t="s">
        <v>34</v>
      </c>
      <c r="F225" t="s">
        <v>16</v>
      </c>
      <c r="G225">
        <v>335</v>
      </c>
      <c r="H225" t="s">
        <v>35</v>
      </c>
      <c r="I225" s="3">
        <f t="shared" si="55"/>
        <v>57915.000000000007</v>
      </c>
      <c r="J225">
        <v>20000</v>
      </c>
      <c r="K225" t="s">
        <v>51</v>
      </c>
      <c r="L225" t="s">
        <v>60</v>
      </c>
    </row>
    <row r="226" spans="1:12" x14ac:dyDescent="0.2">
      <c r="A226" t="s">
        <v>12</v>
      </c>
      <c r="B226" t="s">
        <v>31</v>
      </c>
      <c r="C226">
        <v>2015</v>
      </c>
      <c r="D226" t="s">
        <v>32</v>
      </c>
      <c r="E226" t="s">
        <v>34</v>
      </c>
      <c r="F226" t="s">
        <v>16</v>
      </c>
      <c r="G226">
        <v>420</v>
      </c>
      <c r="H226" t="s">
        <v>36</v>
      </c>
      <c r="I226" s="3">
        <v>83650</v>
      </c>
      <c r="J226">
        <v>20000</v>
      </c>
      <c r="K226" t="s">
        <v>51</v>
      </c>
      <c r="L226" t="s">
        <v>61</v>
      </c>
    </row>
    <row r="227" spans="1:12" x14ac:dyDescent="0.2">
      <c r="A227" t="s">
        <v>12</v>
      </c>
      <c r="B227" t="s">
        <v>31</v>
      </c>
      <c r="C227">
        <v>2016</v>
      </c>
      <c r="D227" t="s">
        <v>32</v>
      </c>
      <c r="E227" t="s">
        <v>34</v>
      </c>
      <c r="F227" t="s">
        <v>16</v>
      </c>
      <c r="G227">
        <v>420</v>
      </c>
      <c r="H227" t="s">
        <v>36</v>
      </c>
      <c r="I227" s="3">
        <f>83650*1.1</f>
        <v>92015.000000000015</v>
      </c>
      <c r="J227">
        <v>20000</v>
      </c>
      <c r="K227" t="s">
        <v>51</v>
      </c>
      <c r="L227" t="s">
        <v>61</v>
      </c>
    </row>
    <row r="228" spans="1:12" x14ac:dyDescent="0.2">
      <c r="A228" t="s">
        <v>12</v>
      </c>
      <c r="B228" t="s">
        <v>31</v>
      </c>
      <c r="C228">
        <v>2017</v>
      </c>
      <c r="D228" t="s">
        <v>32</v>
      </c>
      <c r="E228" t="s">
        <v>34</v>
      </c>
      <c r="F228" t="s">
        <v>16</v>
      </c>
      <c r="G228">
        <v>420</v>
      </c>
      <c r="H228" t="s">
        <v>36</v>
      </c>
      <c r="I228" s="3">
        <f t="shared" ref="I228:I229" si="56">83650*1.1</f>
        <v>92015.000000000015</v>
      </c>
      <c r="J228">
        <v>20000</v>
      </c>
      <c r="K228" t="s">
        <v>51</v>
      </c>
      <c r="L228" t="s">
        <v>61</v>
      </c>
    </row>
    <row r="229" spans="1:12" x14ac:dyDescent="0.2">
      <c r="A229" t="s">
        <v>12</v>
      </c>
      <c r="B229" t="s">
        <v>31</v>
      </c>
      <c r="C229">
        <v>2018</v>
      </c>
      <c r="D229" t="s">
        <v>32</v>
      </c>
      <c r="E229" t="s">
        <v>34</v>
      </c>
      <c r="F229" t="s">
        <v>16</v>
      </c>
      <c r="G229">
        <v>420</v>
      </c>
      <c r="H229" t="s">
        <v>36</v>
      </c>
      <c r="I229" s="3">
        <f t="shared" si="56"/>
        <v>92015.000000000015</v>
      </c>
      <c r="J229">
        <v>20000</v>
      </c>
      <c r="K229" t="s">
        <v>51</v>
      </c>
      <c r="L229" t="s">
        <v>61</v>
      </c>
    </row>
    <row r="230" spans="1:12" hidden="1" x14ac:dyDescent="0.2">
      <c r="A230" t="s">
        <v>12</v>
      </c>
      <c r="B230" t="s">
        <v>37</v>
      </c>
      <c r="C230">
        <v>2015</v>
      </c>
      <c r="D230" t="s">
        <v>32</v>
      </c>
      <c r="E230" t="s">
        <v>15</v>
      </c>
      <c r="F230" t="s">
        <v>16</v>
      </c>
      <c r="G230">
        <v>190</v>
      </c>
      <c r="H230" t="s">
        <v>38</v>
      </c>
      <c r="I230" s="3">
        <v>36000</v>
      </c>
      <c r="J230">
        <v>20000</v>
      </c>
      <c r="K230" t="s">
        <v>51</v>
      </c>
      <c r="L230" t="s">
        <v>62</v>
      </c>
    </row>
    <row r="231" spans="1:12" hidden="1" x14ac:dyDescent="0.2">
      <c r="A231" t="s">
        <v>12</v>
      </c>
      <c r="B231" t="s">
        <v>37</v>
      </c>
      <c r="C231">
        <v>2016</v>
      </c>
      <c r="D231" t="s">
        <v>32</v>
      </c>
      <c r="E231" t="s">
        <v>15</v>
      </c>
      <c r="F231" t="s">
        <v>16</v>
      </c>
      <c r="G231">
        <v>190</v>
      </c>
      <c r="H231" t="s">
        <v>38</v>
      </c>
      <c r="I231" s="3">
        <f>I230*1.1</f>
        <v>39600</v>
      </c>
      <c r="J231">
        <v>20000</v>
      </c>
      <c r="K231" t="s">
        <v>51</v>
      </c>
      <c r="L231" t="s">
        <v>62</v>
      </c>
    </row>
    <row r="232" spans="1:12" hidden="1" x14ac:dyDescent="0.2">
      <c r="A232" t="s">
        <v>12</v>
      </c>
      <c r="B232" t="s">
        <v>37</v>
      </c>
      <c r="C232">
        <v>2017</v>
      </c>
      <c r="D232" t="s">
        <v>32</v>
      </c>
      <c r="E232" t="s">
        <v>15</v>
      </c>
      <c r="F232" t="s">
        <v>16</v>
      </c>
      <c r="G232">
        <v>190</v>
      </c>
      <c r="H232" t="s">
        <v>38</v>
      </c>
      <c r="I232" s="3">
        <f t="shared" ref="I232:I233" si="57">I231*1.1</f>
        <v>43560</v>
      </c>
      <c r="J232">
        <v>20000</v>
      </c>
      <c r="K232" t="s">
        <v>51</v>
      </c>
      <c r="L232" t="s">
        <v>62</v>
      </c>
    </row>
    <row r="233" spans="1:12" hidden="1" x14ac:dyDescent="0.2">
      <c r="A233" t="s">
        <v>12</v>
      </c>
      <c r="B233" t="s">
        <v>37</v>
      </c>
      <c r="C233">
        <v>2018</v>
      </c>
      <c r="D233" t="s">
        <v>32</v>
      </c>
      <c r="E233" t="s">
        <v>15</v>
      </c>
      <c r="F233" t="s">
        <v>16</v>
      </c>
      <c r="G233">
        <v>190</v>
      </c>
      <c r="H233" t="s">
        <v>38</v>
      </c>
      <c r="I233" s="3">
        <f t="shared" si="57"/>
        <v>47916.000000000007</v>
      </c>
      <c r="J233">
        <v>20000</v>
      </c>
      <c r="K233" t="s">
        <v>51</v>
      </c>
      <c r="L233" t="s">
        <v>62</v>
      </c>
    </row>
    <row r="234" spans="1:12" hidden="1" x14ac:dyDescent="0.2">
      <c r="A234" t="s">
        <v>19</v>
      </c>
      <c r="B234" t="s">
        <v>37</v>
      </c>
      <c r="C234">
        <v>2015</v>
      </c>
      <c r="D234" t="s">
        <v>32</v>
      </c>
      <c r="E234" t="s">
        <v>15</v>
      </c>
      <c r="F234" t="s">
        <v>16</v>
      </c>
      <c r="G234">
        <v>252</v>
      </c>
      <c r="H234" t="s">
        <v>35</v>
      </c>
      <c r="I234" s="3">
        <v>42600</v>
      </c>
      <c r="J234">
        <v>20000</v>
      </c>
      <c r="K234" t="s">
        <v>51</v>
      </c>
      <c r="L234" t="s">
        <v>63</v>
      </c>
    </row>
    <row r="235" spans="1:12" hidden="1" x14ac:dyDescent="0.2">
      <c r="A235" t="s">
        <v>19</v>
      </c>
      <c r="B235" t="s">
        <v>37</v>
      </c>
      <c r="C235">
        <v>2016</v>
      </c>
      <c r="D235" t="s">
        <v>32</v>
      </c>
      <c r="E235" t="s">
        <v>15</v>
      </c>
      <c r="F235" t="s">
        <v>16</v>
      </c>
      <c r="G235">
        <v>252</v>
      </c>
      <c r="H235" t="s">
        <v>35</v>
      </c>
      <c r="I235" s="3">
        <f>42600*1.1</f>
        <v>46860.000000000007</v>
      </c>
      <c r="J235">
        <v>20000</v>
      </c>
      <c r="K235" t="s">
        <v>51</v>
      </c>
      <c r="L235" t="s">
        <v>63</v>
      </c>
    </row>
    <row r="236" spans="1:12" hidden="1" x14ac:dyDescent="0.2">
      <c r="A236" t="s">
        <v>19</v>
      </c>
      <c r="B236" t="s">
        <v>37</v>
      </c>
      <c r="C236">
        <v>2017</v>
      </c>
      <c r="D236" t="s">
        <v>32</v>
      </c>
      <c r="E236" t="s">
        <v>15</v>
      </c>
      <c r="F236" t="s">
        <v>16</v>
      </c>
      <c r="G236">
        <v>252</v>
      </c>
      <c r="H236" t="s">
        <v>35</v>
      </c>
      <c r="I236" s="3">
        <f t="shared" ref="I236:I237" si="58">42600*1.1</f>
        <v>46860.000000000007</v>
      </c>
      <c r="J236">
        <v>20000</v>
      </c>
      <c r="K236" t="s">
        <v>51</v>
      </c>
      <c r="L236" t="s">
        <v>63</v>
      </c>
    </row>
    <row r="237" spans="1:12" hidden="1" x14ac:dyDescent="0.2">
      <c r="A237" t="s">
        <v>19</v>
      </c>
      <c r="B237" t="s">
        <v>37</v>
      </c>
      <c r="C237">
        <v>2018</v>
      </c>
      <c r="D237" t="s">
        <v>32</v>
      </c>
      <c r="E237" t="s">
        <v>15</v>
      </c>
      <c r="F237" t="s">
        <v>16</v>
      </c>
      <c r="G237">
        <v>252</v>
      </c>
      <c r="H237" t="s">
        <v>35</v>
      </c>
      <c r="I237" s="3">
        <f t="shared" si="58"/>
        <v>46860.000000000007</v>
      </c>
      <c r="J237">
        <v>20000</v>
      </c>
      <c r="K237" t="s">
        <v>51</v>
      </c>
      <c r="L237" t="s">
        <v>63</v>
      </c>
    </row>
    <row r="238" spans="1:12" hidden="1" x14ac:dyDescent="0.2">
      <c r="A238" t="s">
        <v>21</v>
      </c>
      <c r="B238" t="s">
        <v>37</v>
      </c>
      <c r="C238">
        <v>2015</v>
      </c>
      <c r="D238" t="s">
        <v>32</v>
      </c>
      <c r="E238" t="s">
        <v>15</v>
      </c>
      <c r="F238" t="s">
        <v>16</v>
      </c>
      <c r="G238">
        <v>252</v>
      </c>
      <c r="H238" t="s">
        <v>39</v>
      </c>
      <c r="I238" s="3">
        <v>41500</v>
      </c>
      <c r="J238">
        <v>20000</v>
      </c>
      <c r="K238" t="s">
        <v>51</v>
      </c>
      <c r="L238" t="s">
        <v>64</v>
      </c>
    </row>
    <row r="239" spans="1:12" hidden="1" x14ac:dyDescent="0.2">
      <c r="A239" t="s">
        <v>21</v>
      </c>
      <c r="B239" t="s">
        <v>37</v>
      </c>
      <c r="C239">
        <v>2016</v>
      </c>
      <c r="D239" t="s">
        <v>32</v>
      </c>
      <c r="E239" t="s">
        <v>15</v>
      </c>
      <c r="F239" t="s">
        <v>16</v>
      </c>
      <c r="G239">
        <v>252</v>
      </c>
      <c r="H239" t="s">
        <v>39</v>
      </c>
      <c r="I239" s="3">
        <f>41500*1.1</f>
        <v>45650.000000000007</v>
      </c>
      <c r="J239">
        <v>20000</v>
      </c>
      <c r="K239" t="s">
        <v>51</v>
      </c>
      <c r="L239" t="s">
        <v>64</v>
      </c>
    </row>
    <row r="240" spans="1:12" hidden="1" x14ac:dyDescent="0.2">
      <c r="A240" t="s">
        <v>21</v>
      </c>
      <c r="B240" t="s">
        <v>37</v>
      </c>
      <c r="C240">
        <v>2017</v>
      </c>
      <c r="D240" t="s">
        <v>32</v>
      </c>
      <c r="E240" t="s">
        <v>15</v>
      </c>
      <c r="F240" t="s">
        <v>16</v>
      </c>
      <c r="G240">
        <v>252</v>
      </c>
      <c r="H240" t="s">
        <v>39</v>
      </c>
      <c r="I240" s="3">
        <f t="shared" ref="I240:I241" si="59">41500*1.1</f>
        <v>45650.000000000007</v>
      </c>
      <c r="J240">
        <v>20000</v>
      </c>
      <c r="K240" t="s">
        <v>51</v>
      </c>
      <c r="L240" t="s">
        <v>64</v>
      </c>
    </row>
    <row r="241" spans="1:12" hidden="1" x14ac:dyDescent="0.2">
      <c r="A241" t="s">
        <v>21</v>
      </c>
      <c r="B241" t="s">
        <v>37</v>
      </c>
      <c r="C241">
        <v>2018</v>
      </c>
      <c r="D241" t="s">
        <v>32</v>
      </c>
      <c r="E241" t="s">
        <v>15</v>
      </c>
      <c r="F241" t="s">
        <v>16</v>
      </c>
      <c r="G241">
        <v>252</v>
      </c>
      <c r="H241" t="s">
        <v>39</v>
      </c>
      <c r="I241" s="3">
        <f t="shared" si="59"/>
        <v>45650.000000000007</v>
      </c>
      <c r="J241">
        <v>20000</v>
      </c>
      <c r="K241" t="s">
        <v>51</v>
      </c>
      <c r="L241" t="s">
        <v>64</v>
      </c>
    </row>
    <row r="242" spans="1:12" hidden="1" x14ac:dyDescent="0.2">
      <c r="A242" t="s">
        <v>21</v>
      </c>
      <c r="B242" t="s">
        <v>37</v>
      </c>
      <c r="C242">
        <v>2015</v>
      </c>
      <c r="D242" t="s">
        <v>24</v>
      </c>
      <c r="E242" t="s">
        <v>15</v>
      </c>
      <c r="F242" t="s">
        <v>16</v>
      </c>
      <c r="G242">
        <v>200</v>
      </c>
      <c r="H242" t="s">
        <v>40</v>
      </c>
      <c r="I242" s="3">
        <v>30000</v>
      </c>
      <c r="J242">
        <v>20000</v>
      </c>
      <c r="K242" t="s">
        <v>51</v>
      </c>
      <c r="L242" t="s">
        <v>65</v>
      </c>
    </row>
    <row r="243" spans="1:12" hidden="1" x14ac:dyDescent="0.2">
      <c r="A243" t="s">
        <v>21</v>
      </c>
      <c r="B243" t="s">
        <v>37</v>
      </c>
      <c r="C243">
        <v>2016</v>
      </c>
      <c r="D243" t="s">
        <v>24</v>
      </c>
      <c r="E243" t="s">
        <v>15</v>
      </c>
      <c r="F243" t="s">
        <v>16</v>
      </c>
      <c r="G243">
        <v>200</v>
      </c>
      <c r="H243" t="s">
        <v>40</v>
      </c>
      <c r="I243" s="3">
        <f>I242*1.1</f>
        <v>33000</v>
      </c>
      <c r="J243">
        <v>20000</v>
      </c>
      <c r="K243" t="s">
        <v>51</v>
      </c>
      <c r="L243" t="s">
        <v>65</v>
      </c>
    </row>
    <row r="244" spans="1:12" hidden="1" x14ac:dyDescent="0.2">
      <c r="A244" t="s">
        <v>21</v>
      </c>
      <c r="B244" t="s">
        <v>37</v>
      </c>
      <c r="C244">
        <v>2017</v>
      </c>
      <c r="D244" t="s">
        <v>24</v>
      </c>
      <c r="E244" t="s">
        <v>15</v>
      </c>
      <c r="F244" t="s">
        <v>16</v>
      </c>
      <c r="G244">
        <v>200</v>
      </c>
      <c r="H244" t="s">
        <v>40</v>
      </c>
      <c r="I244" s="3">
        <f t="shared" ref="I244:I245" si="60">I243*1.1</f>
        <v>36300</v>
      </c>
      <c r="J244">
        <v>20000</v>
      </c>
      <c r="K244" t="s">
        <v>51</v>
      </c>
      <c r="L244" t="s">
        <v>65</v>
      </c>
    </row>
    <row r="245" spans="1:12" hidden="1" x14ac:dyDescent="0.2">
      <c r="A245" t="s">
        <v>21</v>
      </c>
      <c r="B245" t="s">
        <v>37</v>
      </c>
      <c r="C245">
        <v>2018</v>
      </c>
      <c r="D245" t="s">
        <v>24</v>
      </c>
      <c r="E245" t="s">
        <v>15</v>
      </c>
      <c r="F245" t="s">
        <v>16</v>
      </c>
      <c r="G245">
        <v>200</v>
      </c>
      <c r="H245" t="s">
        <v>40</v>
      </c>
      <c r="I245" s="3">
        <f t="shared" si="60"/>
        <v>39930</v>
      </c>
      <c r="J245">
        <v>20000</v>
      </c>
      <c r="K245" t="s">
        <v>51</v>
      </c>
      <c r="L245" t="s">
        <v>65</v>
      </c>
    </row>
    <row r="246" spans="1:12" hidden="1" x14ac:dyDescent="0.2">
      <c r="A246" t="s">
        <v>12</v>
      </c>
      <c r="B246" t="s">
        <v>41</v>
      </c>
      <c r="C246">
        <v>2015</v>
      </c>
      <c r="D246" t="s">
        <v>14</v>
      </c>
      <c r="E246" t="s">
        <v>15</v>
      </c>
      <c r="F246" t="s">
        <v>16</v>
      </c>
      <c r="G246">
        <v>240</v>
      </c>
      <c r="H246" t="s">
        <v>30</v>
      </c>
      <c r="I246" s="3">
        <v>22050</v>
      </c>
      <c r="J246">
        <v>20000</v>
      </c>
      <c r="K246" t="s">
        <v>51</v>
      </c>
      <c r="L246" t="s">
        <v>66</v>
      </c>
    </row>
    <row r="247" spans="1:12" hidden="1" x14ac:dyDescent="0.2">
      <c r="A247" t="s">
        <v>12</v>
      </c>
      <c r="B247" t="s">
        <v>41</v>
      </c>
      <c r="C247">
        <v>2016</v>
      </c>
      <c r="D247" t="s">
        <v>14</v>
      </c>
      <c r="E247" t="s">
        <v>15</v>
      </c>
      <c r="F247" t="s">
        <v>16</v>
      </c>
      <c r="G247">
        <v>240</v>
      </c>
      <c r="H247" t="s">
        <v>30</v>
      </c>
      <c r="I247" s="3">
        <f>I246*1.1</f>
        <v>24255.000000000004</v>
      </c>
      <c r="J247">
        <v>20000</v>
      </c>
      <c r="K247" t="s">
        <v>51</v>
      </c>
      <c r="L247" t="s">
        <v>66</v>
      </c>
    </row>
    <row r="248" spans="1:12" hidden="1" x14ac:dyDescent="0.2">
      <c r="A248" t="s">
        <v>12</v>
      </c>
      <c r="B248" t="s">
        <v>41</v>
      </c>
      <c r="C248">
        <v>2017</v>
      </c>
      <c r="D248" t="s">
        <v>14</v>
      </c>
      <c r="E248" t="s">
        <v>15</v>
      </c>
      <c r="F248" t="s">
        <v>16</v>
      </c>
      <c r="G248">
        <v>240</v>
      </c>
      <c r="H248" t="s">
        <v>30</v>
      </c>
      <c r="I248" s="3">
        <f t="shared" ref="I248:I249" si="61">I247*1.1</f>
        <v>26680.500000000007</v>
      </c>
      <c r="J248">
        <v>20000</v>
      </c>
      <c r="K248" t="s">
        <v>51</v>
      </c>
      <c r="L248" t="s">
        <v>66</v>
      </c>
    </row>
    <row r="249" spans="1:12" hidden="1" x14ac:dyDescent="0.2">
      <c r="A249" t="s">
        <v>12</v>
      </c>
      <c r="B249" t="s">
        <v>41</v>
      </c>
      <c r="C249">
        <v>2018</v>
      </c>
      <c r="D249" t="s">
        <v>14</v>
      </c>
      <c r="E249" t="s">
        <v>15</v>
      </c>
      <c r="F249" t="s">
        <v>16</v>
      </c>
      <c r="G249">
        <v>240</v>
      </c>
      <c r="H249" t="s">
        <v>30</v>
      </c>
      <c r="I249" s="3">
        <f t="shared" si="61"/>
        <v>29348.55000000001</v>
      </c>
      <c r="J249">
        <v>20000</v>
      </c>
      <c r="K249" t="s">
        <v>51</v>
      </c>
      <c r="L249" t="s">
        <v>66</v>
      </c>
    </row>
    <row r="250" spans="1:12" hidden="1" x14ac:dyDescent="0.2">
      <c r="A250" t="s">
        <v>19</v>
      </c>
      <c r="B250" t="s">
        <v>41</v>
      </c>
      <c r="C250">
        <v>2015</v>
      </c>
      <c r="D250" t="s">
        <v>14</v>
      </c>
      <c r="E250" t="s">
        <v>15</v>
      </c>
      <c r="F250" t="s">
        <v>16</v>
      </c>
      <c r="G250">
        <v>320</v>
      </c>
      <c r="H250" t="s">
        <v>42</v>
      </c>
      <c r="I250" s="3">
        <v>23000</v>
      </c>
      <c r="J250">
        <v>20000</v>
      </c>
      <c r="K250" t="s">
        <v>51</v>
      </c>
      <c r="L250" t="s">
        <v>67</v>
      </c>
    </row>
    <row r="251" spans="1:12" hidden="1" x14ac:dyDescent="0.2">
      <c r="A251" t="s">
        <v>19</v>
      </c>
      <c r="B251" t="s">
        <v>41</v>
      </c>
      <c r="C251">
        <v>2016</v>
      </c>
      <c r="D251" t="s">
        <v>14</v>
      </c>
      <c r="E251" t="s">
        <v>15</v>
      </c>
      <c r="F251" t="s">
        <v>16</v>
      </c>
      <c r="G251">
        <v>320</v>
      </c>
      <c r="H251" t="s">
        <v>42</v>
      </c>
      <c r="I251" s="3">
        <f>I250*1.1</f>
        <v>25300.000000000004</v>
      </c>
      <c r="J251">
        <v>20000</v>
      </c>
      <c r="K251" t="s">
        <v>51</v>
      </c>
      <c r="L251" t="s">
        <v>67</v>
      </c>
    </row>
    <row r="252" spans="1:12" hidden="1" x14ac:dyDescent="0.2">
      <c r="A252" t="s">
        <v>19</v>
      </c>
      <c r="B252" t="s">
        <v>41</v>
      </c>
      <c r="C252">
        <v>2017</v>
      </c>
      <c r="D252" t="s">
        <v>14</v>
      </c>
      <c r="E252" t="s">
        <v>15</v>
      </c>
      <c r="F252" t="s">
        <v>16</v>
      </c>
      <c r="G252">
        <v>320</v>
      </c>
      <c r="H252" t="s">
        <v>42</v>
      </c>
      <c r="I252" s="3">
        <f t="shared" ref="I252:I253" si="62">I251*1.1</f>
        <v>27830.000000000007</v>
      </c>
      <c r="J252">
        <v>20000</v>
      </c>
      <c r="K252" t="s">
        <v>51</v>
      </c>
      <c r="L252" t="s">
        <v>67</v>
      </c>
    </row>
    <row r="253" spans="1:12" hidden="1" x14ac:dyDescent="0.2">
      <c r="A253" t="s">
        <v>19</v>
      </c>
      <c r="B253" t="s">
        <v>41</v>
      </c>
      <c r="C253">
        <v>2018</v>
      </c>
      <c r="D253" t="s">
        <v>14</v>
      </c>
      <c r="E253" t="s">
        <v>15</v>
      </c>
      <c r="F253" t="s">
        <v>16</v>
      </c>
      <c r="G253">
        <v>320</v>
      </c>
      <c r="H253" t="s">
        <v>42</v>
      </c>
      <c r="I253" s="3">
        <f t="shared" si="62"/>
        <v>30613.000000000011</v>
      </c>
      <c r="J253">
        <v>20000</v>
      </c>
      <c r="K253" t="s">
        <v>51</v>
      </c>
      <c r="L253" t="s">
        <v>67</v>
      </c>
    </row>
    <row r="254" spans="1:12" hidden="1" x14ac:dyDescent="0.2">
      <c r="A254" t="s">
        <v>21</v>
      </c>
      <c r="B254" t="s">
        <v>41</v>
      </c>
      <c r="C254">
        <v>2015</v>
      </c>
      <c r="D254" t="s">
        <v>14</v>
      </c>
      <c r="E254" t="s">
        <v>15</v>
      </c>
      <c r="F254" t="s">
        <v>16</v>
      </c>
      <c r="G254">
        <v>260</v>
      </c>
      <c r="H254" t="s">
        <v>43</v>
      </c>
      <c r="I254" s="3">
        <v>26000</v>
      </c>
      <c r="J254">
        <v>20000</v>
      </c>
      <c r="K254" t="s">
        <v>51</v>
      </c>
      <c r="L254" t="s">
        <v>68</v>
      </c>
    </row>
    <row r="255" spans="1:12" hidden="1" x14ac:dyDescent="0.2">
      <c r="A255" t="s">
        <v>21</v>
      </c>
      <c r="B255" t="s">
        <v>41</v>
      </c>
      <c r="C255">
        <v>2016</v>
      </c>
      <c r="D255" t="s">
        <v>14</v>
      </c>
      <c r="E255" t="s">
        <v>15</v>
      </c>
      <c r="F255" t="s">
        <v>16</v>
      </c>
      <c r="G255">
        <v>260</v>
      </c>
      <c r="H255" t="s">
        <v>43</v>
      </c>
      <c r="I255" s="3">
        <f>I254*1.1</f>
        <v>28600.000000000004</v>
      </c>
      <c r="J255">
        <v>20000</v>
      </c>
      <c r="K255" t="s">
        <v>51</v>
      </c>
      <c r="L255" t="s">
        <v>68</v>
      </c>
    </row>
    <row r="256" spans="1:12" hidden="1" x14ac:dyDescent="0.2">
      <c r="A256" t="s">
        <v>21</v>
      </c>
      <c r="B256" t="s">
        <v>41</v>
      </c>
      <c r="C256">
        <v>2017</v>
      </c>
      <c r="D256" t="s">
        <v>14</v>
      </c>
      <c r="E256" t="s">
        <v>15</v>
      </c>
      <c r="F256" t="s">
        <v>16</v>
      </c>
      <c r="G256">
        <v>260</v>
      </c>
      <c r="H256" t="s">
        <v>43</v>
      </c>
      <c r="I256" s="3">
        <f t="shared" ref="I256:I257" si="63">I255*1.1</f>
        <v>31460.000000000007</v>
      </c>
      <c r="J256">
        <v>20000</v>
      </c>
      <c r="K256" t="s">
        <v>51</v>
      </c>
      <c r="L256" t="s">
        <v>68</v>
      </c>
    </row>
    <row r="257" spans="1:12" hidden="1" x14ac:dyDescent="0.2">
      <c r="A257" t="s">
        <v>21</v>
      </c>
      <c r="B257" t="s">
        <v>41</v>
      </c>
      <c r="C257">
        <v>2018</v>
      </c>
      <c r="D257" t="s">
        <v>14</v>
      </c>
      <c r="E257" t="s">
        <v>15</v>
      </c>
      <c r="F257" t="s">
        <v>16</v>
      </c>
      <c r="G257">
        <v>260</v>
      </c>
      <c r="H257" t="s">
        <v>43</v>
      </c>
      <c r="I257" s="3">
        <f t="shared" si="63"/>
        <v>34606.000000000007</v>
      </c>
      <c r="J257">
        <v>20000</v>
      </c>
      <c r="K257" t="s">
        <v>51</v>
      </c>
      <c r="L257" t="s">
        <v>68</v>
      </c>
    </row>
    <row r="258" spans="1:12" hidden="1" x14ac:dyDescent="0.2">
      <c r="A258" t="s">
        <v>23</v>
      </c>
      <c r="B258" t="s">
        <v>41</v>
      </c>
      <c r="C258">
        <v>2015</v>
      </c>
      <c r="D258" t="s">
        <v>24</v>
      </c>
      <c r="E258" t="s">
        <v>15</v>
      </c>
      <c r="F258" t="s">
        <v>16</v>
      </c>
      <c r="G258">
        <v>130</v>
      </c>
      <c r="H258" t="s">
        <v>44</v>
      </c>
      <c r="I258" s="3">
        <v>14995</v>
      </c>
      <c r="J258">
        <v>20000</v>
      </c>
      <c r="K258" t="s">
        <v>51</v>
      </c>
      <c r="L258" t="s">
        <v>69</v>
      </c>
    </row>
    <row r="259" spans="1:12" hidden="1" x14ac:dyDescent="0.2">
      <c r="A259" t="s">
        <v>23</v>
      </c>
      <c r="B259" t="s">
        <v>41</v>
      </c>
      <c r="C259">
        <v>2016</v>
      </c>
      <c r="D259" t="s">
        <v>24</v>
      </c>
      <c r="E259" t="s">
        <v>15</v>
      </c>
      <c r="F259" t="s">
        <v>16</v>
      </c>
      <c r="G259">
        <v>130</v>
      </c>
      <c r="H259" t="s">
        <v>44</v>
      </c>
      <c r="I259" s="3">
        <f>I258*1.1</f>
        <v>16494.5</v>
      </c>
      <c r="J259">
        <v>20000</v>
      </c>
      <c r="K259" t="s">
        <v>51</v>
      </c>
      <c r="L259" t="s">
        <v>69</v>
      </c>
    </row>
    <row r="260" spans="1:12" hidden="1" x14ac:dyDescent="0.2">
      <c r="A260" t="s">
        <v>23</v>
      </c>
      <c r="B260" t="s">
        <v>41</v>
      </c>
      <c r="C260">
        <v>2017</v>
      </c>
      <c r="D260" t="s">
        <v>24</v>
      </c>
      <c r="E260" t="s">
        <v>15</v>
      </c>
      <c r="F260" t="s">
        <v>16</v>
      </c>
      <c r="G260">
        <v>130</v>
      </c>
      <c r="H260" t="s">
        <v>44</v>
      </c>
      <c r="I260" s="3">
        <f t="shared" ref="I260:I261" si="64">I259*1.1</f>
        <v>18143.95</v>
      </c>
      <c r="J260">
        <v>20000</v>
      </c>
      <c r="K260" t="s">
        <v>51</v>
      </c>
      <c r="L260" t="s">
        <v>69</v>
      </c>
    </row>
    <row r="261" spans="1:12" hidden="1" x14ac:dyDescent="0.2">
      <c r="A261" t="s">
        <v>23</v>
      </c>
      <c r="B261" t="s">
        <v>41</v>
      </c>
      <c r="C261">
        <v>2018</v>
      </c>
      <c r="D261" t="s">
        <v>24</v>
      </c>
      <c r="E261" t="s">
        <v>15</v>
      </c>
      <c r="F261" t="s">
        <v>16</v>
      </c>
      <c r="G261">
        <v>130</v>
      </c>
      <c r="H261" t="s">
        <v>44</v>
      </c>
      <c r="I261" s="3">
        <f t="shared" si="64"/>
        <v>19958.345000000001</v>
      </c>
      <c r="J261">
        <v>20000</v>
      </c>
      <c r="K261" t="s">
        <v>51</v>
      </c>
      <c r="L261" t="s">
        <v>69</v>
      </c>
    </row>
    <row r="262" spans="1:12" hidden="1" x14ac:dyDescent="0.2">
      <c r="A262" t="s">
        <v>12</v>
      </c>
      <c r="B262" t="s">
        <v>45</v>
      </c>
      <c r="C262">
        <v>2015</v>
      </c>
      <c r="D262" t="s">
        <v>32</v>
      </c>
      <c r="E262" t="s">
        <v>15</v>
      </c>
      <c r="F262" t="s">
        <v>16</v>
      </c>
      <c r="G262">
        <v>275</v>
      </c>
      <c r="H262" t="s">
        <v>46</v>
      </c>
      <c r="I262" s="3">
        <v>38210</v>
      </c>
      <c r="J262">
        <v>20000</v>
      </c>
      <c r="K262" t="s">
        <v>51</v>
      </c>
      <c r="L262" t="s">
        <v>70</v>
      </c>
    </row>
    <row r="263" spans="1:12" hidden="1" x14ac:dyDescent="0.2">
      <c r="A263" t="s">
        <v>12</v>
      </c>
      <c r="B263" t="s">
        <v>45</v>
      </c>
      <c r="C263">
        <v>2016</v>
      </c>
      <c r="D263" t="s">
        <v>32</v>
      </c>
      <c r="E263" t="s">
        <v>15</v>
      </c>
      <c r="F263" t="s">
        <v>16</v>
      </c>
      <c r="G263">
        <v>275</v>
      </c>
      <c r="H263" t="s">
        <v>46</v>
      </c>
      <c r="I263" s="3">
        <f>I262*1.1</f>
        <v>42031</v>
      </c>
      <c r="J263">
        <v>20000</v>
      </c>
      <c r="K263" t="s">
        <v>51</v>
      </c>
      <c r="L263" t="s">
        <v>70</v>
      </c>
    </row>
    <row r="264" spans="1:12" hidden="1" x14ac:dyDescent="0.2">
      <c r="A264" t="s">
        <v>12</v>
      </c>
      <c r="B264" t="s">
        <v>45</v>
      </c>
      <c r="C264">
        <v>2017</v>
      </c>
      <c r="D264" t="s">
        <v>32</v>
      </c>
      <c r="E264" t="s">
        <v>15</v>
      </c>
      <c r="F264" t="s">
        <v>16</v>
      </c>
      <c r="G264">
        <v>275</v>
      </c>
      <c r="H264" t="s">
        <v>46</v>
      </c>
      <c r="I264" s="3">
        <f t="shared" ref="I264:I265" si="65">I263*1.1</f>
        <v>46234.100000000006</v>
      </c>
      <c r="J264">
        <v>20000</v>
      </c>
      <c r="K264" t="s">
        <v>51</v>
      </c>
      <c r="L264" t="s">
        <v>70</v>
      </c>
    </row>
    <row r="265" spans="1:12" hidden="1" x14ac:dyDescent="0.2">
      <c r="A265" t="s">
        <v>12</v>
      </c>
      <c r="B265" t="s">
        <v>45</v>
      </c>
      <c r="C265">
        <v>2018</v>
      </c>
      <c r="D265" t="s">
        <v>32</v>
      </c>
      <c r="E265" t="s">
        <v>15</v>
      </c>
      <c r="F265" t="s">
        <v>16</v>
      </c>
      <c r="G265">
        <v>275</v>
      </c>
      <c r="H265" t="s">
        <v>46</v>
      </c>
      <c r="I265" s="3">
        <f t="shared" si="65"/>
        <v>50857.510000000009</v>
      </c>
      <c r="J265">
        <v>20000</v>
      </c>
      <c r="K265" t="s">
        <v>51</v>
      </c>
      <c r="L265" t="s">
        <v>70</v>
      </c>
    </row>
    <row r="266" spans="1:12" hidden="1" x14ac:dyDescent="0.2">
      <c r="A266" t="s">
        <v>19</v>
      </c>
      <c r="B266" t="s">
        <v>45</v>
      </c>
      <c r="C266">
        <v>2015</v>
      </c>
      <c r="D266" t="s">
        <v>32</v>
      </c>
      <c r="E266" t="s">
        <v>15</v>
      </c>
      <c r="F266" t="s">
        <v>16</v>
      </c>
      <c r="G266">
        <v>350</v>
      </c>
      <c r="H266" t="s">
        <v>46</v>
      </c>
      <c r="I266" s="3">
        <v>40640</v>
      </c>
      <c r="J266">
        <v>20000</v>
      </c>
      <c r="K266" t="s">
        <v>51</v>
      </c>
      <c r="L266" t="s">
        <v>71</v>
      </c>
    </row>
    <row r="267" spans="1:12" hidden="1" x14ac:dyDescent="0.2">
      <c r="A267" t="s">
        <v>19</v>
      </c>
      <c r="B267" t="s">
        <v>45</v>
      </c>
      <c r="C267">
        <v>2016</v>
      </c>
      <c r="D267" t="s">
        <v>32</v>
      </c>
      <c r="E267" t="s">
        <v>15</v>
      </c>
      <c r="F267" t="s">
        <v>16</v>
      </c>
      <c r="G267">
        <v>350</v>
      </c>
      <c r="H267" t="s">
        <v>46</v>
      </c>
      <c r="I267" s="3">
        <f>I266*1.06</f>
        <v>43078.400000000001</v>
      </c>
      <c r="J267">
        <v>20000</v>
      </c>
      <c r="K267" t="s">
        <v>51</v>
      </c>
      <c r="L267" t="s">
        <v>71</v>
      </c>
    </row>
    <row r="268" spans="1:12" hidden="1" x14ac:dyDescent="0.2">
      <c r="A268" t="s">
        <v>19</v>
      </c>
      <c r="B268" t="s">
        <v>45</v>
      </c>
      <c r="C268">
        <v>2017</v>
      </c>
      <c r="D268" t="s">
        <v>32</v>
      </c>
      <c r="E268" t="s">
        <v>15</v>
      </c>
      <c r="F268" t="s">
        <v>16</v>
      </c>
      <c r="G268">
        <v>350</v>
      </c>
      <c r="H268" t="s">
        <v>46</v>
      </c>
      <c r="I268" s="3">
        <f t="shared" ref="I268:I269" si="66">I267*1.06</f>
        <v>45663.104000000007</v>
      </c>
      <c r="J268">
        <v>20000</v>
      </c>
      <c r="K268" t="s">
        <v>51</v>
      </c>
      <c r="L268" t="s">
        <v>71</v>
      </c>
    </row>
    <row r="269" spans="1:12" hidden="1" x14ac:dyDescent="0.2">
      <c r="A269" t="s">
        <v>19</v>
      </c>
      <c r="B269" t="s">
        <v>45</v>
      </c>
      <c r="C269">
        <v>2018</v>
      </c>
      <c r="D269" t="s">
        <v>32</v>
      </c>
      <c r="E269" t="s">
        <v>15</v>
      </c>
      <c r="F269" t="s">
        <v>16</v>
      </c>
      <c r="G269">
        <v>350</v>
      </c>
      <c r="H269" t="s">
        <v>46</v>
      </c>
      <c r="I269" s="3">
        <f t="shared" si="66"/>
        <v>48402.890240000008</v>
      </c>
      <c r="J269">
        <v>20000</v>
      </c>
      <c r="K269" t="s">
        <v>51</v>
      </c>
      <c r="L269" t="s">
        <v>71</v>
      </c>
    </row>
    <row r="270" spans="1:12" hidden="1" x14ac:dyDescent="0.2">
      <c r="A270" t="s">
        <v>21</v>
      </c>
      <c r="B270" t="s">
        <v>45</v>
      </c>
      <c r="C270">
        <v>2015</v>
      </c>
      <c r="D270" t="s">
        <v>32</v>
      </c>
      <c r="E270" t="s">
        <v>15</v>
      </c>
      <c r="F270" t="s">
        <v>16</v>
      </c>
      <c r="G270">
        <v>295</v>
      </c>
      <c r="H270" t="s">
        <v>47</v>
      </c>
      <c r="I270" s="3">
        <v>43270</v>
      </c>
      <c r="J270">
        <v>20000</v>
      </c>
      <c r="K270" t="s">
        <v>51</v>
      </c>
      <c r="L270" t="s">
        <v>72</v>
      </c>
    </row>
    <row r="271" spans="1:12" hidden="1" x14ac:dyDescent="0.2">
      <c r="A271" t="s">
        <v>21</v>
      </c>
      <c r="B271" t="s">
        <v>45</v>
      </c>
      <c r="C271">
        <v>2016</v>
      </c>
      <c r="D271" t="s">
        <v>32</v>
      </c>
      <c r="E271" t="s">
        <v>15</v>
      </c>
      <c r="F271" t="s">
        <v>16</v>
      </c>
      <c r="G271">
        <v>295</v>
      </c>
      <c r="H271" t="s">
        <v>47</v>
      </c>
      <c r="I271" s="3">
        <f>I270*1.06</f>
        <v>45866.200000000004</v>
      </c>
      <c r="J271">
        <v>20000</v>
      </c>
      <c r="K271" t="s">
        <v>51</v>
      </c>
      <c r="L271" t="s">
        <v>72</v>
      </c>
    </row>
    <row r="272" spans="1:12" hidden="1" x14ac:dyDescent="0.2">
      <c r="A272" t="s">
        <v>21</v>
      </c>
      <c r="B272" t="s">
        <v>45</v>
      </c>
      <c r="C272">
        <v>2017</v>
      </c>
      <c r="D272" t="s">
        <v>32</v>
      </c>
      <c r="E272" t="s">
        <v>15</v>
      </c>
      <c r="F272" t="s">
        <v>16</v>
      </c>
      <c r="G272">
        <v>295</v>
      </c>
      <c r="H272" t="s">
        <v>47</v>
      </c>
      <c r="I272" s="3">
        <f t="shared" ref="I272:I273" si="67">I271*1.06</f>
        <v>48618.172000000006</v>
      </c>
      <c r="J272">
        <v>20000</v>
      </c>
      <c r="K272" t="s">
        <v>51</v>
      </c>
      <c r="L272" t="s">
        <v>72</v>
      </c>
    </row>
    <row r="273" spans="1:12" hidden="1" x14ac:dyDescent="0.2">
      <c r="A273" t="s">
        <v>21</v>
      </c>
      <c r="B273" t="s">
        <v>45</v>
      </c>
      <c r="C273">
        <v>2018</v>
      </c>
      <c r="D273" t="s">
        <v>32</v>
      </c>
      <c r="E273" t="s">
        <v>15</v>
      </c>
      <c r="F273" t="s">
        <v>16</v>
      </c>
      <c r="G273">
        <v>295</v>
      </c>
      <c r="H273" t="s">
        <v>47</v>
      </c>
      <c r="I273" s="3">
        <f t="shared" si="67"/>
        <v>51535.262320000009</v>
      </c>
      <c r="J273">
        <v>20000</v>
      </c>
      <c r="K273" t="s">
        <v>51</v>
      </c>
      <c r="L273" t="s">
        <v>72</v>
      </c>
    </row>
    <row r="274" spans="1:12" hidden="1" x14ac:dyDescent="0.2">
      <c r="A274" t="s">
        <v>23</v>
      </c>
      <c r="B274" t="s">
        <v>45</v>
      </c>
      <c r="C274">
        <v>2015</v>
      </c>
      <c r="D274" t="s">
        <v>24</v>
      </c>
      <c r="E274" t="s">
        <v>15</v>
      </c>
      <c r="F274" t="s">
        <v>16</v>
      </c>
      <c r="G274">
        <v>134</v>
      </c>
      <c r="H274" t="s">
        <v>48</v>
      </c>
      <c r="I274" s="3">
        <v>31250</v>
      </c>
      <c r="J274">
        <v>20000</v>
      </c>
      <c r="K274" t="s">
        <v>51</v>
      </c>
      <c r="L274" t="s">
        <v>73</v>
      </c>
    </row>
    <row r="275" spans="1:12" hidden="1" x14ac:dyDescent="0.2">
      <c r="A275" t="s">
        <v>23</v>
      </c>
      <c r="B275" t="s">
        <v>45</v>
      </c>
      <c r="C275">
        <v>2016</v>
      </c>
      <c r="D275" t="s">
        <v>24</v>
      </c>
      <c r="E275" t="s">
        <v>15</v>
      </c>
      <c r="F275" t="s">
        <v>16</v>
      </c>
      <c r="G275">
        <v>134</v>
      </c>
      <c r="H275" t="s">
        <v>48</v>
      </c>
      <c r="I275" s="3">
        <f>I274*1.05</f>
        <v>32812.5</v>
      </c>
      <c r="J275">
        <v>20000</v>
      </c>
      <c r="K275" t="s">
        <v>51</v>
      </c>
      <c r="L275" t="s">
        <v>73</v>
      </c>
    </row>
    <row r="276" spans="1:12" hidden="1" x14ac:dyDescent="0.2">
      <c r="A276" t="s">
        <v>23</v>
      </c>
      <c r="B276" t="s">
        <v>45</v>
      </c>
      <c r="C276">
        <v>2017</v>
      </c>
      <c r="D276" t="s">
        <v>24</v>
      </c>
      <c r="E276" t="s">
        <v>15</v>
      </c>
      <c r="F276" t="s">
        <v>16</v>
      </c>
      <c r="G276">
        <v>134</v>
      </c>
      <c r="H276" t="s">
        <v>48</v>
      </c>
      <c r="I276" s="3">
        <f t="shared" ref="I276:I277" si="68">I275*1.05</f>
        <v>34453.125</v>
      </c>
      <c r="J276">
        <v>20000</v>
      </c>
      <c r="K276" t="s">
        <v>51</v>
      </c>
      <c r="L276" t="s">
        <v>73</v>
      </c>
    </row>
    <row r="277" spans="1:12" hidden="1" x14ac:dyDescent="0.2">
      <c r="A277" t="s">
        <v>23</v>
      </c>
      <c r="B277" t="s">
        <v>45</v>
      </c>
      <c r="C277">
        <v>2018</v>
      </c>
      <c r="D277" t="s">
        <v>24</v>
      </c>
      <c r="E277" t="s">
        <v>15</v>
      </c>
      <c r="F277" t="s">
        <v>16</v>
      </c>
      <c r="G277">
        <v>134</v>
      </c>
      <c r="H277" t="s">
        <v>48</v>
      </c>
      <c r="I277" s="3">
        <f t="shared" si="68"/>
        <v>36175.78125</v>
      </c>
      <c r="J277">
        <v>20000</v>
      </c>
      <c r="K277" t="s">
        <v>51</v>
      </c>
      <c r="L277" t="s">
        <v>73</v>
      </c>
    </row>
    <row r="278" spans="1:12" hidden="1" x14ac:dyDescent="0.2">
      <c r="A278" t="s">
        <v>12</v>
      </c>
      <c r="B278" t="s">
        <v>13</v>
      </c>
      <c r="C278">
        <v>2015</v>
      </c>
      <c r="D278" t="s">
        <v>14</v>
      </c>
      <c r="E278" t="s">
        <v>15</v>
      </c>
      <c r="F278" t="s">
        <v>16</v>
      </c>
      <c r="G278">
        <v>177</v>
      </c>
      <c r="H278" t="s">
        <v>17</v>
      </c>
      <c r="I278" s="3">
        <v>17950</v>
      </c>
      <c r="J278">
        <v>21201</v>
      </c>
      <c r="K278" t="s">
        <v>50</v>
      </c>
      <c r="L278" t="s">
        <v>52</v>
      </c>
    </row>
    <row r="279" spans="1:12" hidden="1" x14ac:dyDescent="0.2">
      <c r="A279" t="s">
        <v>12</v>
      </c>
      <c r="B279" t="s">
        <v>13</v>
      </c>
      <c r="C279">
        <v>2016</v>
      </c>
      <c r="D279" t="s">
        <v>14</v>
      </c>
      <c r="E279" t="s">
        <v>15</v>
      </c>
      <c r="F279" t="s">
        <v>16</v>
      </c>
      <c r="G279">
        <v>177</v>
      </c>
      <c r="H279" t="s">
        <v>17</v>
      </c>
      <c r="I279" s="3">
        <f>I278*1.1</f>
        <v>19745</v>
      </c>
      <c r="J279">
        <v>21201</v>
      </c>
      <c r="K279" t="s">
        <v>50</v>
      </c>
      <c r="L279" t="s">
        <v>52</v>
      </c>
    </row>
    <row r="280" spans="1:12" hidden="1" x14ac:dyDescent="0.2">
      <c r="A280" t="s">
        <v>12</v>
      </c>
      <c r="B280" t="s">
        <v>13</v>
      </c>
      <c r="C280">
        <v>2017</v>
      </c>
      <c r="D280" t="s">
        <v>14</v>
      </c>
      <c r="E280" t="s">
        <v>15</v>
      </c>
      <c r="F280" t="s">
        <v>16</v>
      </c>
      <c r="G280">
        <v>177</v>
      </c>
      <c r="H280" t="s">
        <v>17</v>
      </c>
      <c r="I280" s="3">
        <f t="shared" ref="I280:I281" si="69">I279*1.1</f>
        <v>21719.5</v>
      </c>
      <c r="J280">
        <v>21201</v>
      </c>
      <c r="K280" t="s">
        <v>50</v>
      </c>
      <c r="L280" t="s">
        <v>52</v>
      </c>
    </row>
    <row r="281" spans="1:12" hidden="1" x14ac:dyDescent="0.2">
      <c r="A281" t="s">
        <v>12</v>
      </c>
      <c r="B281" t="s">
        <v>13</v>
      </c>
      <c r="C281">
        <v>2018</v>
      </c>
      <c r="D281" t="s">
        <v>14</v>
      </c>
      <c r="E281" t="s">
        <v>15</v>
      </c>
      <c r="F281" t="s">
        <v>16</v>
      </c>
      <c r="G281">
        <v>177</v>
      </c>
      <c r="H281" t="s">
        <v>17</v>
      </c>
      <c r="I281" s="3">
        <f t="shared" si="69"/>
        <v>23891.45</v>
      </c>
      <c r="J281">
        <v>21201</v>
      </c>
      <c r="K281" t="s">
        <v>50</v>
      </c>
      <c r="L281" t="s">
        <v>52</v>
      </c>
    </row>
    <row r="282" spans="1:12" hidden="1" x14ac:dyDescent="0.2">
      <c r="A282" t="s">
        <v>19</v>
      </c>
      <c r="B282" t="s">
        <v>13</v>
      </c>
      <c r="C282">
        <v>2015</v>
      </c>
      <c r="D282" t="s">
        <v>14</v>
      </c>
      <c r="E282" t="s">
        <v>15</v>
      </c>
      <c r="F282" t="s">
        <v>16</v>
      </c>
      <c r="G282">
        <v>350</v>
      </c>
      <c r="H282" t="s">
        <v>20</v>
      </c>
      <c r="I282" s="3">
        <v>25680</v>
      </c>
      <c r="J282">
        <v>21201</v>
      </c>
      <c r="K282" t="s">
        <v>50</v>
      </c>
      <c r="L282" t="s">
        <v>53</v>
      </c>
    </row>
    <row r="283" spans="1:12" hidden="1" x14ac:dyDescent="0.2">
      <c r="A283" t="s">
        <v>19</v>
      </c>
      <c r="B283" t="s">
        <v>13</v>
      </c>
      <c r="C283">
        <v>2016</v>
      </c>
      <c r="D283" t="s">
        <v>14</v>
      </c>
      <c r="E283" t="s">
        <v>15</v>
      </c>
      <c r="F283" t="s">
        <v>16</v>
      </c>
      <c r="G283">
        <v>350</v>
      </c>
      <c r="H283" t="s">
        <v>20</v>
      </c>
      <c r="I283" s="3">
        <f>I282*1.1</f>
        <v>28248.000000000004</v>
      </c>
      <c r="J283">
        <v>21201</v>
      </c>
      <c r="K283" t="s">
        <v>50</v>
      </c>
      <c r="L283" t="s">
        <v>53</v>
      </c>
    </row>
    <row r="284" spans="1:12" hidden="1" x14ac:dyDescent="0.2">
      <c r="A284" t="s">
        <v>19</v>
      </c>
      <c r="B284" t="s">
        <v>13</v>
      </c>
      <c r="C284">
        <v>2017</v>
      </c>
      <c r="D284" t="s">
        <v>14</v>
      </c>
      <c r="E284" t="s">
        <v>15</v>
      </c>
      <c r="F284" t="s">
        <v>16</v>
      </c>
      <c r="G284">
        <v>350</v>
      </c>
      <c r="H284" t="s">
        <v>20</v>
      </c>
      <c r="I284" s="3">
        <f t="shared" ref="I284" si="70">I283*1.1</f>
        <v>31072.800000000007</v>
      </c>
      <c r="J284">
        <v>21201</v>
      </c>
      <c r="K284" t="s">
        <v>50</v>
      </c>
      <c r="L284" t="s">
        <v>53</v>
      </c>
    </row>
    <row r="285" spans="1:12" hidden="1" x14ac:dyDescent="0.2">
      <c r="A285" t="s">
        <v>19</v>
      </c>
      <c r="B285" t="s">
        <v>13</v>
      </c>
      <c r="C285">
        <v>2018</v>
      </c>
      <c r="D285" t="s">
        <v>14</v>
      </c>
      <c r="E285" t="s">
        <v>15</v>
      </c>
      <c r="F285" t="s">
        <v>16</v>
      </c>
      <c r="G285">
        <v>350</v>
      </c>
      <c r="H285" t="s">
        <v>20</v>
      </c>
      <c r="I285" s="3">
        <f>I284*1.1</f>
        <v>34180.080000000009</v>
      </c>
      <c r="J285">
        <v>21201</v>
      </c>
      <c r="K285" t="s">
        <v>50</v>
      </c>
      <c r="L285" t="s">
        <v>53</v>
      </c>
    </row>
    <row r="286" spans="1:12" hidden="1" x14ac:dyDescent="0.2">
      <c r="A286" t="s">
        <v>21</v>
      </c>
      <c r="B286" t="s">
        <v>13</v>
      </c>
      <c r="C286">
        <v>2015</v>
      </c>
      <c r="D286" t="s">
        <v>14</v>
      </c>
      <c r="E286" t="s">
        <v>15</v>
      </c>
      <c r="F286" t="s">
        <v>16</v>
      </c>
      <c r="G286">
        <v>245</v>
      </c>
      <c r="H286" t="s">
        <v>22</v>
      </c>
      <c r="I286" s="3">
        <v>29315</v>
      </c>
      <c r="J286">
        <v>21201</v>
      </c>
      <c r="K286" t="s">
        <v>50</v>
      </c>
      <c r="L286" t="s">
        <v>54</v>
      </c>
    </row>
    <row r="287" spans="1:12" hidden="1" x14ac:dyDescent="0.2">
      <c r="A287" t="s">
        <v>21</v>
      </c>
      <c r="B287" t="s">
        <v>13</v>
      </c>
      <c r="C287">
        <v>2016</v>
      </c>
      <c r="D287" t="s">
        <v>14</v>
      </c>
      <c r="E287" t="s">
        <v>15</v>
      </c>
      <c r="F287" t="s">
        <v>16</v>
      </c>
      <c r="G287">
        <v>245</v>
      </c>
      <c r="H287" t="s">
        <v>22</v>
      </c>
      <c r="I287" s="3">
        <f>I286*1.1</f>
        <v>32246.500000000004</v>
      </c>
      <c r="J287">
        <v>21201</v>
      </c>
      <c r="K287" t="s">
        <v>50</v>
      </c>
      <c r="L287" t="s">
        <v>54</v>
      </c>
    </row>
    <row r="288" spans="1:12" hidden="1" x14ac:dyDescent="0.2">
      <c r="A288" t="s">
        <v>21</v>
      </c>
      <c r="B288" t="s">
        <v>13</v>
      </c>
      <c r="C288">
        <v>2017</v>
      </c>
      <c r="D288" t="s">
        <v>14</v>
      </c>
      <c r="E288" t="s">
        <v>15</v>
      </c>
      <c r="F288" t="s">
        <v>16</v>
      </c>
      <c r="G288">
        <v>245</v>
      </c>
      <c r="H288" t="s">
        <v>22</v>
      </c>
      <c r="I288" s="3">
        <f t="shared" ref="I288:I289" si="71">I287*1.1</f>
        <v>35471.150000000009</v>
      </c>
      <c r="J288">
        <v>21201</v>
      </c>
      <c r="K288" t="s">
        <v>50</v>
      </c>
      <c r="L288" t="s">
        <v>54</v>
      </c>
    </row>
    <row r="289" spans="1:12" hidden="1" x14ac:dyDescent="0.2">
      <c r="A289" t="s">
        <v>21</v>
      </c>
      <c r="B289" t="s">
        <v>13</v>
      </c>
      <c r="C289">
        <v>2018</v>
      </c>
      <c r="D289" t="s">
        <v>14</v>
      </c>
      <c r="E289" t="s">
        <v>15</v>
      </c>
      <c r="F289" t="s">
        <v>16</v>
      </c>
      <c r="G289">
        <v>245</v>
      </c>
      <c r="H289" t="s">
        <v>22</v>
      </c>
      <c r="I289" s="3">
        <f t="shared" si="71"/>
        <v>39018.265000000014</v>
      </c>
      <c r="J289">
        <v>21201</v>
      </c>
      <c r="K289" t="s">
        <v>50</v>
      </c>
      <c r="L289" t="s">
        <v>54</v>
      </c>
    </row>
    <row r="290" spans="1:12" hidden="1" x14ac:dyDescent="0.2">
      <c r="A290" t="s">
        <v>23</v>
      </c>
      <c r="B290" t="s">
        <v>13</v>
      </c>
      <c r="C290">
        <v>2015</v>
      </c>
      <c r="D290" t="s">
        <v>24</v>
      </c>
      <c r="E290" t="s">
        <v>15</v>
      </c>
      <c r="F290" t="s">
        <v>16</v>
      </c>
      <c r="G290">
        <v>185</v>
      </c>
      <c r="H290" t="s">
        <v>25</v>
      </c>
      <c r="I290" s="3">
        <v>17950</v>
      </c>
      <c r="J290">
        <v>21201</v>
      </c>
      <c r="K290" t="s">
        <v>50</v>
      </c>
      <c r="L290" t="s">
        <v>52</v>
      </c>
    </row>
    <row r="291" spans="1:12" hidden="1" x14ac:dyDescent="0.2">
      <c r="A291" t="s">
        <v>23</v>
      </c>
      <c r="B291" t="s">
        <v>13</v>
      </c>
      <c r="C291">
        <v>2016</v>
      </c>
      <c r="D291" t="s">
        <v>24</v>
      </c>
      <c r="E291" t="s">
        <v>15</v>
      </c>
      <c r="F291" t="s">
        <v>16</v>
      </c>
      <c r="G291">
        <v>185</v>
      </c>
      <c r="H291" t="s">
        <v>25</v>
      </c>
      <c r="I291" s="3">
        <f>I290*1.1</f>
        <v>19745</v>
      </c>
      <c r="J291">
        <v>21201</v>
      </c>
      <c r="K291" t="s">
        <v>50</v>
      </c>
      <c r="L291" t="s">
        <v>52</v>
      </c>
    </row>
    <row r="292" spans="1:12" hidden="1" x14ac:dyDescent="0.2">
      <c r="A292" t="s">
        <v>23</v>
      </c>
      <c r="B292" t="s">
        <v>13</v>
      </c>
      <c r="C292">
        <v>2017</v>
      </c>
      <c r="D292" t="s">
        <v>24</v>
      </c>
      <c r="E292" t="s">
        <v>15</v>
      </c>
      <c r="F292" t="s">
        <v>16</v>
      </c>
      <c r="G292">
        <v>185</v>
      </c>
      <c r="H292" t="s">
        <v>25</v>
      </c>
      <c r="I292" s="3">
        <f t="shared" ref="I292:I293" si="72">I291*1.1</f>
        <v>21719.5</v>
      </c>
      <c r="J292">
        <v>21201</v>
      </c>
      <c r="K292" t="s">
        <v>50</v>
      </c>
      <c r="L292" t="s">
        <v>52</v>
      </c>
    </row>
    <row r="293" spans="1:12" hidden="1" x14ac:dyDescent="0.2">
      <c r="A293" t="s">
        <v>23</v>
      </c>
      <c r="B293" t="s">
        <v>13</v>
      </c>
      <c r="C293">
        <v>2018</v>
      </c>
      <c r="D293" t="s">
        <v>24</v>
      </c>
      <c r="E293" t="s">
        <v>15</v>
      </c>
      <c r="F293" t="s">
        <v>16</v>
      </c>
      <c r="G293">
        <v>185</v>
      </c>
      <c r="H293" t="s">
        <v>25</v>
      </c>
      <c r="I293" s="3">
        <f t="shared" si="72"/>
        <v>23891.45</v>
      </c>
      <c r="J293">
        <v>21201</v>
      </c>
      <c r="K293" t="s">
        <v>50</v>
      </c>
      <c r="L293" t="s">
        <v>52</v>
      </c>
    </row>
    <row r="294" spans="1:12" hidden="1" x14ac:dyDescent="0.2">
      <c r="A294" t="s">
        <v>12</v>
      </c>
      <c r="B294" t="s">
        <v>26</v>
      </c>
      <c r="C294">
        <v>2015</v>
      </c>
      <c r="D294" t="s">
        <v>14</v>
      </c>
      <c r="E294" t="s">
        <v>15</v>
      </c>
      <c r="F294" t="s">
        <v>16</v>
      </c>
      <c r="G294">
        <v>266</v>
      </c>
      <c r="H294" t="s">
        <v>27</v>
      </c>
      <c r="I294" s="3">
        <v>27895</v>
      </c>
      <c r="J294">
        <v>21201</v>
      </c>
      <c r="K294" t="s">
        <v>50</v>
      </c>
      <c r="L294" t="s">
        <v>55</v>
      </c>
    </row>
    <row r="295" spans="1:12" hidden="1" x14ac:dyDescent="0.2">
      <c r="A295" t="s">
        <v>12</v>
      </c>
      <c r="B295" t="s">
        <v>26</v>
      </c>
      <c r="C295">
        <v>2016</v>
      </c>
      <c r="D295" t="s">
        <v>14</v>
      </c>
      <c r="E295" t="s">
        <v>15</v>
      </c>
      <c r="F295" t="s">
        <v>16</v>
      </c>
      <c r="G295">
        <v>266</v>
      </c>
      <c r="H295" t="s">
        <v>27</v>
      </c>
      <c r="I295" s="3">
        <f>I294*1.1</f>
        <v>30684.500000000004</v>
      </c>
      <c r="J295">
        <v>21201</v>
      </c>
      <c r="K295" t="s">
        <v>50</v>
      </c>
      <c r="L295" t="s">
        <v>55</v>
      </c>
    </row>
    <row r="296" spans="1:12" hidden="1" x14ac:dyDescent="0.2">
      <c r="A296" t="s">
        <v>12</v>
      </c>
      <c r="B296" t="s">
        <v>26</v>
      </c>
      <c r="C296">
        <v>2017</v>
      </c>
      <c r="D296" t="s">
        <v>14</v>
      </c>
      <c r="E296" t="s">
        <v>15</v>
      </c>
      <c r="F296" t="s">
        <v>16</v>
      </c>
      <c r="G296">
        <v>266</v>
      </c>
      <c r="H296" t="s">
        <v>27</v>
      </c>
      <c r="I296" s="3">
        <f t="shared" ref="I296:I297" si="73">I295*1.1</f>
        <v>33752.950000000004</v>
      </c>
      <c r="J296">
        <v>21201</v>
      </c>
      <c r="K296" t="s">
        <v>50</v>
      </c>
      <c r="L296" t="s">
        <v>55</v>
      </c>
    </row>
    <row r="297" spans="1:12" hidden="1" x14ac:dyDescent="0.2">
      <c r="A297" t="s">
        <v>12</v>
      </c>
      <c r="B297" t="s">
        <v>26</v>
      </c>
      <c r="C297">
        <v>2018</v>
      </c>
      <c r="D297" t="s">
        <v>14</v>
      </c>
      <c r="E297" t="s">
        <v>15</v>
      </c>
      <c r="F297" t="s">
        <v>16</v>
      </c>
      <c r="G297">
        <v>266</v>
      </c>
      <c r="H297" t="s">
        <v>27</v>
      </c>
      <c r="I297" s="3">
        <f t="shared" si="73"/>
        <v>37128.24500000001</v>
      </c>
      <c r="J297">
        <v>21201</v>
      </c>
      <c r="K297" t="s">
        <v>50</v>
      </c>
      <c r="L297" t="s">
        <v>55</v>
      </c>
    </row>
    <row r="298" spans="1:12" hidden="1" x14ac:dyDescent="0.2">
      <c r="A298" t="s">
        <v>19</v>
      </c>
      <c r="B298" t="s">
        <v>26</v>
      </c>
      <c r="C298">
        <v>2015</v>
      </c>
      <c r="D298" t="s">
        <v>14</v>
      </c>
      <c r="E298" t="s">
        <v>15</v>
      </c>
      <c r="F298" t="s">
        <v>16</v>
      </c>
      <c r="G298">
        <v>350</v>
      </c>
      <c r="H298" t="s">
        <v>28</v>
      </c>
      <c r="I298" s="3">
        <v>27000</v>
      </c>
      <c r="J298">
        <v>21201</v>
      </c>
      <c r="K298" t="s">
        <v>50</v>
      </c>
      <c r="L298" t="s">
        <v>56</v>
      </c>
    </row>
    <row r="299" spans="1:12" hidden="1" x14ac:dyDescent="0.2">
      <c r="A299" t="s">
        <v>19</v>
      </c>
      <c r="B299" t="s">
        <v>26</v>
      </c>
      <c r="C299">
        <v>2016</v>
      </c>
      <c r="D299" t="s">
        <v>14</v>
      </c>
      <c r="E299" t="s">
        <v>15</v>
      </c>
      <c r="F299" t="s">
        <v>16</v>
      </c>
      <c r="G299">
        <v>350</v>
      </c>
      <c r="H299" t="s">
        <v>28</v>
      </c>
      <c r="I299" s="3">
        <f>I298*1.05</f>
        <v>28350</v>
      </c>
      <c r="J299">
        <v>21201</v>
      </c>
      <c r="K299" t="s">
        <v>50</v>
      </c>
      <c r="L299" t="s">
        <v>56</v>
      </c>
    </row>
    <row r="300" spans="1:12" hidden="1" x14ac:dyDescent="0.2">
      <c r="A300" t="s">
        <v>19</v>
      </c>
      <c r="B300" t="s">
        <v>26</v>
      </c>
      <c r="C300">
        <v>2017</v>
      </c>
      <c r="D300" t="s">
        <v>14</v>
      </c>
      <c r="E300" t="s">
        <v>15</v>
      </c>
      <c r="F300" t="s">
        <v>16</v>
      </c>
      <c r="G300">
        <v>350</v>
      </c>
      <c r="H300" t="s">
        <v>28</v>
      </c>
      <c r="I300" s="3">
        <f t="shared" ref="I300:I301" si="74">I299*1.05</f>
        <v>29767.5</v>
      </c>
      <c r="J300">
        <v>21201</v>
      </c>
      <c r="K300" t="s">
        <v>50</v>
      </c>
      <c r="L300" t="s">
        <v>56</v>
      </c>
    </row>
    <row r="301" spans="1:12" hidden="1" x14ac:dyDescent="0.2">
      <c r="A301" t="s">
        <v>19</v>
      </c>
      <c r="B301" t="s">
        <v>26</v>
      </c>
      <c r="C301">
        <v>2018</v>
      </c>
      <c r="D301" t="s">
        <v>14</v>
      </c>
      <c r="E301" t="s">
        <v>15</v>
      </c>
      <c r="F301" t="s">
        <v>16</v>
      </c>
      <c r="G301">
        <v>350</v>
      </c>
      <c r="H301" t="s">
        <v>28</v>
      </c>
      <c r="I301" s="3">
        <f t="shared" si="74"/>
        <v>31255.875</v>
      </c>
      <c r="J301">
        <v>21201</v>
      </c>
      <c r="K301" t="s">
        <v>50</v>
      </c>
      <c r="L301" t="s">
        <v>56</v>
      </c>
    </row>
    <row r="302" spans="1:12" hidden="1" x14ac:dyDescent="0.2">
      <c r="A302" t="s">
        <v>21</v>
      </c>
      <c r="B302" t="s">
        <v>26</v>
      </c>
      <c r="C302">
        <v>2015</v>
      </c>
      <c r="D302" t="s">
        <v>14</v>
      </c>
      <c r="E302" t="s">
        <v>15</v>
      </c>
      <c r="F302" t="s">
        <v>16</v>
      </c>
      <c r="G302">
        <v>355</v>
      </c>
      <c r="H302" t="s">
        <v>29</v>
      </c>
      <c r="I302" s="3">
        <v>52000</v>
      </c>
      <c r="J302">
        <v>21201</v>
      </c>
      <c r="K302" t="s">
        <v>50</v>
      </c>
      <c r="L302" t="s">
        <v>57</v>
      </c>
    </row>
    <row r="303" spans="1:12" hidden="1" x14ac:dyDescent="0.2">
      <c r="A303" t="s">
        <v>21</v>
      </c>
      <c r="B303" t="s">
        <v>26</v>
      </c>
      <c r="C303">
        <v>2016</v>
      </c>
      <c r="D303" t="s">
        <v>14</v>
      </c>
      <c r="E303" t="s">
        <v>15</v>
      </c>
      <c r="F303" t="s">
        <v>16</v>
      </c>
      <c r="G303">
        <v>355</v>
      </c>
      <c r="H303" t="s">
        <v>29</v>
      </c>
      <c r="I303" s="3">
        <f>I302*1.1</f>
        <v>57200.000000000007</v>
      </c>
      <c r="J303">
        <v>21201</v>
      </c>
      <c r="K303" t="s">
        <v>50</v>
      </c>
      <c r="L303" t="s">
        <v>57</v>
      </c>
    </row>
    <row r="304" spans="1:12" hidden="1" x14ac:dyDescent="0.2">
      <c r="A304" t="s">
        <v>21</v>
      </c>
      <c r="B304" t="s">
        <v>26</v>
      </c>
      <c r="C304">
        <v>2017</v>
      </c>
      <c r="D304" t="s">
        <v>14</v>
      </c>
      <c r="E304" t="s">
        <v>15</v>
      </c>
      <c r="F304" t="s">
        <v>16</v>
      </c>
      <c r="G304">
        <v>355</v>
      </c>
      <c r="H304" t="s">
        <v>29</v>
      </c>
      <c r="I304" s="3">
        <f t="shared" ref="I304:I305" si="75">I303*1.1</f>
        <v>62920.000000000015</v>
      </c>
      <c r="J304">
        <v>21201</v>
      </c>
      <c r="K304" t="s">
        <v>50</v>
      </c>
      <c r="L304" t="s">
        <v>57</v>
      </c>
    </row>
    <row r="305" spans="1:12" hidden="1" x14ac:dyDescent="0.2">
      <c r="A305" t="s">
        <v>21</v>
      </c>
      <c r="B305" t="s">
        <v>26</v>
      </c>
      <c r="C305">
        <v>2018</v>
      </c>
      <c r="D305" t="s">
        <v>14</v>
      </c>
      <c r="E305" t="s">
        <v>15</v>
      </c>
      <c r="F305" t="s">
        <v>16</v>
      </c>
      <c r="G305">
        <v>355</v>
      </c>
      <c r="H305" t="s">
        <v>29</v>
      </c>
      <c r="I305" s="3">
        <f t="shared" si="75"/>
        <v>69212.000000000015</v>
      </c>
      <c r="J305">
        <v>21201</v>
      </c>
      <c r="K305" t="s">
        <v>50</v>
      </c>
      <c r="L305" t="s">
        <v>57</v>
      </c>
    </row>
    <row r="306" spans="1:12" hidden="1" x14ac:dyDescent="0.2">
      <c r="A306" t="s">
        <v>23</v>
      </c>
      <c r="B306" t="s">
        <v>26</v>
      </c>
      <c r="C306">
        <v>2015</v>
      </c>
      <c r="D306" t="s">
        <v>24</v>
      </c>
      <c r="E306" t="s">
        <v>15</v>
      </c>
      <c r="F306" t="s">
        <v>16</v>
      </c>
      <c r="G306">
        <v>138</v>
      </c>
      <c r="H306" t="s">
        <v>30</v>
      </c>
      <c r="I306" s="3">
        <v>15295</v>
      </c>
      <c r="J306">
        <v>21201</v>
      </c>
      <c r="K306" t="s">
        <v>50</v>
      </c>
      <c r="L306" t="s">
        <v>58</v>
      </c>
    </row>
    <row r="307" spans="1:12" hidden="1" x14ac:dyDescent="0.2">
      <c r="A307" t="s">
        <v>23</v>
      </c>
      <c r="B307" t="s">
        <v>26</v>
      </c>
      <c r="C307">
        <v>2016</v>
      </c>
      <c r="D307" t="s">
        <v>24</v>
      </c>
      <c r="E307" t="s">
        <v>15</v>
      </c>
      <c r="F307" t="s">
        <v>16</v>
      </c>
      <c r="G307">
        <v>138</v>
      </c>
      <c r="H307" t="s">
        <v>30</v>
      </c>
      <c r="I307" s="3">
        <f>I306*1.1</f>
        <v>16824.5</v>
      </c>
      <c r="J307">
        <v>21201</v>
      </c>
      <c r="K307" t="s">
        <v>50</v>
      </c>
      <c r="L307" t="s">
        <v>58</v>
      </c>
    </row>
    <row r="308" spans="1:12" hidden="1" x14ac:dyDescent="0.2">
      <c r="A308" t="s">
        <v>23</v>
      </c>
      <c r="B308" t="s">
        <v>26</v>
      </c>
      <c r="C308">
        <v>2017</v>
      </c>
      <c r="D308" t="s">
        <v>24</v>
      </c>
      <c r="E308" t="s">
        <v>15</v>
      </c>
      <c r="F308" t="s">
        <v>16</v>
      </c>
      <c r="G308">
        <v>138</v>
      </c>
      <c r="H308" t="s">
        <v>30</v>
      </c>
      <c r="I308" s="3">
        <f t="shared" ref="I308:I309" si="76">I307*1.1</f>
        <v>18506.95</v>
      </c>
      <c r="J308">
        <v>21201</v>
      </c>
      <c r="K308" t="s">
        <v>50</v>
      </c>
      <c r="L308" t="s">
        <v>58</v>
      </c>
    </row>
    <row r="309" spans="1:12" hidden="1" x14ac:dyDescent="0.2">
      <c r="A309" t="s">
        <v>23</v>
      </c>
      <c r="B309" t="s">
        <v>26</v>
      </c>
      <c r="C309">
        <v>2018</v>
      </c>
      <c r="D309" t="s">
        <v>24</v>
      </c>
      <c r="E309" t="s">
        <v>15</v>
      </c>
      <c r="F309" t="s">
        <v>16</v>
      </c>
      <c r="G309">
        <v>138</v>
      </c>
      <c r="H309" t="s">
        <v>30</v>
      </c>
      <c r="I309" s="3">
        <f t="shared" si="76"/>
        <v>20357.645000000004</v>
      </c>
      <c r="J309">
        <v>21201</v>
      </c>
      <c r="K309" t="s">
        <v>50</v>
      </c>
      <c r="L309" t="s">
        <v>58</v>
      </c>
    </row>
    <row r="310" spans="1:12" x14ac:dyDescent="0.2">
      <c r="A310" t="s">
        <v>12</v>
      </c>
      <c r="B310" t="s">
        <v>31</v>
      </c>
      <c r="C310">
        <v>2015</v>
      </c>
      <c r="D310" t="s">
        <v>32</v>
      </c>
      <c r="E310" t="s">
        <v>15</v>
      </c>
      <c r="F310" t="s">
        <v>16</v>
      </c>
      <c r="G310">
        <v>290</v>
      </c>
      <c r="H310" t="s">
        <v>33</v>
      </c>
      <c r="I310" s="3">
        <v>34900</v>
      </c>
      <c r="J310">
        <v>21201</v>
      </c>
      <c r="K310" t="s">
        <v>50</v>
      </c>
      <c r="L310" t="s">
        <v>59</v>
      </c>
    </row>
    <row r="311" spans="1:12" x14ac:dyDescent="0.2">
      <c r="A311" t="s">
        <v>12</v>
      </c>
      <c r="B311" t="s">
        <v>31</v>
      </c>
      <c r="C311">
        <v>2016</v>
      </c>
      <c r="D311" t="s">
        <v>32</v>
      </c>
      <c r="E311" t="s">
        <v>15</v>
      </c>
      <c r="F311" t="s">
        <v>16</v>
      </c>
      <c r="G311">
        <v>290</v>
      </c>
      <c r="H311" t="s">
        <v>33</v>
      </c>
      <c r="I311" s="3">
        <f>34900*1.1</f>
        <v>38390</v>
      </c>
      <c r="J311">
        <v>21201</v>
      </c>
      <c r="K311" t="s">
        <v>50</v>
      </c>
      <c r="L311" t="s">
        <v>59</v>
      </c>
    </row>
    <row r="312" spans="1:12" x14ac:dyDescent="0.2">
      <c r="A312" t="s">
        <v>12</v>
      </c>
      <c r="B312" t="s">
        <v>31</v>
      </c>
      <c r="C312">
        <v>2017</v>
      </c>
      <c r="D312" t="s">
        <v>32</v>
      </c>
      <c r="E312" t="s">
        <v>15</v>
      </c>
      <c r="F312" t="s">
        <v>16</v>
      </c>
      <c r="G312">
        <v>290</v>
      </c>
      <c r="H312" t="s">
        <v>33</v>
      </c>
      <c r="I312" s="3">
        <f t="shared" ref="I312:I313" si="77">34900*1.1</f>
        <v>38390</v>
      </c>
      <c r="J312">
        <v>21201</v>
      </c>
      <c r="K312" t="s">
        <v>50</v>
      </c>
      <c r="L312" t="s">
        <v>59</v>
      </c>
    </row>
    <row r="313" spans="1:12" x14ac:dyDescent="0.2">
      <c r="A313" t="s">
        <v>12</v>
      </c>
      <c r="B313" t="s">
        <v>31</v>
      </c>
      <c r="C313">
        <v>2018</v>
      </c>
      <c r="D313" t="s">
        <v>32</v>
      </c>
      <c r="E313" t="s">
        <v>15</v>
      </c>
      <c r="F313" t="s">
        <v>16</v>
      </c>
      <c r="G313">
        <v>290</v>
      </c>
      <c r="H313" t="s">
        <v>33</v>
      </c>
      <c r="I313" s="3">
        <f t="shared" si="77"/>
        <v>38390</v>
      </c>
      <c r="J313">
        <v>21201</v>
      </c>
      <c r="K313" t="s">
        <v>50</v>
      </c>
      <c r="L313" t="s">
        <v>59</v>
      </c>
    </row>
    <row r="314" spans="1:12" x14ac:dyDescent="0.2">
      <c r="A314" t="s">
        <v>12</v>
      </c>
      <c r="B314" t="s">
        <v>31</v>
      </c>
      <c r="C314">
        <v>2015</v>
      </c>
      <c r="D314" t="s">
        <v>32</v>
      </c>
      <c r="E314" t="s">
        <v>34</v>
      </c>
      <c r="F314" t="s">
        <v>16</v>
      </c>
      <c r="G314">
        <v>335</v>
      </c>
      <c r="H314" t="s">
        <v>35</v>
      </c>
      <c r="I314" s="3">
        <v>52650</v>
      </c>
      <c r="J314">
        <v>21201</v>
      </c>
      <c r="K314" t="s">
        <v>50</v>
      </c>
      <c r="L314" t="s">
        <v>60</v>
      </c>
    </row>
    <row r="315" spans="1:12" x14ac:dyDescent="0.2">
      <c r="A315" t="s">
        <v>12</v>
      </c>
      <c r="B315" t="s">
        <v>31</v>
      </c>
      <c r="C315">
        <v>2016</v>
      </c>
      <c r="D315" t="s">
        <v>32</v>
      </c>
      <c r="E315" t="s">
        <v>34</v>
      </c>
      <c r="F315" t="s">
        <v>16</v>
      </c>
      <c r="G315">
        <v>335</v>
      </c>
      <c r="H315" t="s">
        <v>35</v>
      </c>
      <c r="I315" s="3">
        <f>52650*1.1</f>
        <v>57915.000000000007</v>
      </c>
      <c r="J315">
        <v>21201</v>
      </c>
      <c r="K315" t="s">
        <v>50</v>
      </c>
      <c r="L315" t="s">
        <v>60</v>
      </c>
    </row>
    <row r="316" spans="1:12" x14ac:dyDescent="0.2">
      <c r="A316" t="s">
        <v>12</v>
      </c>
      <c r="B316" t="s">
        <v>31</v>
      </c>
      <c r="C316">
        <v>2017</v>
      </c>
      <c r="D316" t="s">
        <v>32</v>
      </c>
      <c r="E316" t="s">
        <v>34</v>
      </c>
      <c r="F316" t="s">
        <v>16</v>
      </c>
      <c r="G316">
        <v>335</v>
      </c>
      <c r="H316" t="s">
        <v>35</v>
      </c>
      <c r="I316" s="3">
        <f t="shared" ref="I316:I317" si="78">52650*1.1</f>
        <v>57915.000000000007</v>
      </c>
      <c r="J316">
        <v>21201</v>
      </c>
      <c r="K316" t="s">
        <v>50</v>
      </c>
      <c r="L316" t="s">
        <v>60</v>
      </c>
    </row>
    <row r="317" spans="1:12" x14ac:dyDescent="0.2">
      <c r="A317" t="s">
        <v>12</v>
      </c>
      <c r="B317" t="s">
        <v>31</v>
      </c>
      <c r="C317">
        <v>2018</v>
      </c>
      <c r="D317" t="s">
        <v>32</v>
      </c>
      <c r="E317" t="s">
        <v>34</v>
      </c>
      <c r="F317" t="s">
        <v>16</v>
      </c>
      <c r="G317">
        <v>335</v>
      </c>
      <c r="H317" t="s">
        <v>35</v>
      </c>
      <c r="I317" s="3">
        <f t="shared" si="78"/>
        <v>57915.000000000007</v>
      </c>
      <c r="J317">
        <v>21201</v>
      </c>
      <c r="K317" t="s">
        <v>50</v>
      </c>
      <c r="L317" t="s">
        <v>60</v>
      </c>
    </row>
    <row r="318" spans="1:12" x14ac:dyDescent="0.2">
      <c r="A318" t="s">
        <v>12</v>
      </c>
      <c r="B318" t="s">
        <v>31</v>
      </c>
      <c r="C318">
        <v>2015</v>
      </c>
      <c r="D318" t="s">
        <v>32</v>
      </c>
      <c r="E318" t="s">
        <v>34</v>
      </c>
      <c r="F318" t="s">
        <v>16</v>
      </c>
      <c r="G318">
        <v>420</v>
      </c>
      <c r="H318" t="s">
        <v>36</v>
      </c>
      <c r="I318" s="3">
        <v>83650</v>
      </c>
      <c r="J318">
        <v>21201</v>
      </c>
      <c r="K318" t="s">
        <v>50</v>
      </c>
      <c r="L318" t="s">
        <v>61</v>
      </c>
    </row>
    <row r="319" spans="1:12" x14ac:dyDescent="0.2">
      <c r="A319" t="s">
        <v>12</v>
      </c>
      <c r="B319" t="s">
        <v>31</v>
      </c>
      <c r="C319">
        <v>2016</v>
      </c>
      <c r="D319" t="s">
        <v>32</v>
      </c>
      <c r="E319" t="s">
        <v>34</v>
      </c>
      <c r="F319" t="s">
        <v>16</v>
      </c>
      <c r="G319">
        <v>420</v>
      </c>
      <c r="H319" t="s">
        <v>36</v>
      </c>
      <c r="I319" s="3">
        <f>83650*1.1</f>
        <v>92015.000000000015</v>
      </c>
      <c r="J319">
        <v>21201</v>
      </c>
      <c r="K319" t="s">
        <v>50</v>
      </c>
      <c r="L319" t="s">
        <v>61</v>
      </c>
    </row>
    <row r="320" spans="1:12" x14ac:dyDescent="0.2">
      <c r="A320" t="s">
        <v>12</v>
      </c>
      <c r="B320" t="s">
        <v>31</v>
      </c>
      <c r="C320">
        <v>2017</v>
      </c>
      <c r="D320" t="s">
        <v>32</v>
      </c>
      <c r="E320" t="s">
        <v>34</v>
      </c>
      <c r="F320" t="s">
        <v>16</v>
      </c>
      <c r="G320">
        <v>420</v>
      </c>
      <c r="H320" t="s">
        <v>36</v>
      </c>
      <c r="I320" s="3">
        <f t="shared" ref="I320:I321" si="79">83650*1.1</f>
        <v>92015.000000000015</v>
      </c>
      <c r="J320">
        <v>21201</v>
      </c>
      <c r="K320" t="s">
        <v>50</v>
      </c>
      <c r="L320" t="s">
        <v>61</v>
      </c>
    </row>
    <row r="321" spans="1:12" x14ac:dyDescent="0.2">
      <c r="A321" t="s">
        <v>12</v>
      </c>
      <c r="B321" t="s">
        <v>31</v>
      </c>
      <c r="C321">
        <v>2018</v>
      </c>
      <c r="D321" t="s">
        <v>32</v>
      </c>
      <c r="E321" t="s">
        <v>34</v>
      </c>
      <c r="F321" t="s">
        <v>16</v>
      </c>
      <c r="G321">
        <v>420</v>
      </c>
      <c r="H321" t="s">
        <v>36</v>
      </c>
      <c r="I321" s="3">
        <f t="shared" si="79"/>
        <v>92015.000000000015</v>
      </c>
      <c r="J321">
        <v>21201</v>
      </c>
      <c r="K321" t="s">
        <v>50</v>
      </c>
      <c r="L321" t="s">
        <v>61</v>
      </c>
    </row>
    <row r="322" spans="1:12" hidden="1" x14ac:dyDescent="0.2">
      <c r="A322" t="s">
        <v>12</v>
      </c>
      <c r="B322" t="s">
        <v>37</v>
      </c>
      <c r="C322">
        <v>2015</v>
      </c>
      <c r="D322" t="s">
        <v>32</v>
      </c>
      <c r="E322" t="s">
        <v>15</v>
      </c>
      <c r="F322" t="s">
        <v>16</v>
      </c>
      <c r="G322">
        <v>190</v>
      </c>
      <c r="H322" t="s">
        <v>38</v>
      </c>
      <c r="I322" s="3">
        <v>36000</v>
      </c>
      <c r="J322">
        <v>21201</v>
      </c>
      <c r="K322" t="s">
        <v>50</v>
      </c>
      <c r="L322" t="s">
        <v>62</v>
      </c>
    </row>
    <row r="323" spans="1:12" hidden="1" x14ac:dyDescent="0.2">
      <c r="A323" t="s">
        <v>12</v>
      </c>
      <c r="B323" t="s">
        <v>37</v>
      </c>
      <c r="C323">
        <v>2016</v>
      </c>
      <c r="D323" t="s">
        <v>32</v>
      </c>
      <c r="E323" t="s">
        <v>15</v>
      </c>
      <c r="F323" t="s">
        <v>16</v>
      </c>
      <c r="G323">
        <v>190</v>
      </c>
      <c r="H323" t="s">
        <v>38</v>
      </c>
      <c r="I323" s="3">
        <f>I322*1.1</f>
        <v>39600</v>
      </c>
      <c r="J323">
        <v>21201</v>
      </c>
      <c r="K323" t="s">
        <v>50</v>
      </c>
      <c r="L323" t="s">
        <v>62</v>
      </c>
    </row>
    <row r="324" spans="1:12" hidden="1" x14ac:dyDescent="0.2">
      <c r="A324" t="s">
        <v>12</v>
      </c>
      <c r="B324" t="s">
        <v>37</v>
      </c>
      <c r="C324">
        <v>2017</v>
      </c>
      <c r="D324" t="s">
        <v>32</v>
      </c>
      <c r="E324" t="s">
        <v>15</v>
      </c>
      <c r="F324" t="s">
        <v>16</v>
      </c>
      <c r="G324">
        <v>190</v>
      </c>
      <c r="H324" t="s">
        <v>38</v>
      </c>
      <c r="I324" s="3">
        <f t="shared" ref="I324:I325" si="80">I323*1.1</f>
        <v>43560</v>
      </c>
      <c r="J324">
        <v>21201</v>
      </c>
      <c r="K324" t="s">
        <v>50</v>
      </c>
      <c r="L324" t="s">
        <v>62</v>
      </c>
    </row>
    <row r="325" spans="1:12" hidden="1" x14ac:dyDescent="0.2">
      <c r="A325" t="s">
        <v>12</v>
      </c>
      <c r="B325" t="s">
        <v>37</v>
      </c>
      <c r="C325">
        <v>2018</v>
      </c>
      <c r="D325" t="s">
        <v>32</v>
      </c>
      <c r="E325" t="s">
        <v>15</v>
      </c>
      <c r="F325" t="s">
        <v>16</v>
      </c>
      <c r="G325">
        <v>190</v>
      </c>
      <c r="H325" t="s">
        <v>38</v>
      </c>
      <c r="I325" s="3">
        <f t="shared" si="80"/>
        <v>47916.000000000007</v>
      </c>
      <c r="J325">
        <v>21201</v>
      </c>
      <c r="K325" t="s">
        <v>50</v>
      </c>
      <c r="L325" t="s">
        <v>62</v>
      </c>
    </row>
    <row r="326" spans="1:12" hidden="1" x14ac:dyDescent="0.2">
      <c r="A326" t="s">
        <v>19</v>
      </c>
      <c r="B326" t="s">
        <v>37</v>
      </c>
      <c r="C326">
        <v>2015</v>
      </c>
      <c r="D326" t="s">
        <v>32</v>
      </c>
      <c r="E326" t="s">
        <v>15</v>
      </c>
      <c r="F326" t="s">
        <v>16</v>
      </c>
      <c r="G326">
        <v>252</v>
      </c>
      <c r="H326" t="s">
        <v>35</v>
      </c>
      <c r="I326" s="3">
        <v>42600</v>
      </c>
      <c r="J326">
        <v>21201</v>
      </c>
      <c r="K326" t="s">
        <v>50</v>
      </c>
      <c r="L326" t="s">
        <v>63</v>
      </c>
    </row>
    <row r="327" spans="1:12" hidden="1" x14ac:dyDescent="0.2">
      <c r="A327" t="s">
        <v>19</v>
      </c>
      <c r="B327" t="s">
        <v>37</v>
      </c>
      <c r="C327">
        <v>2016</v>
      </c>
      <c r="D327" t="s">
        <v>32</v>
      </c>
      <c r="E327" t="s">
        <v>15</v>
      </c>
      <c r="F327" t="s">
        <v>16</v>
      </c>
      <c r="G327">
        <v>252</v>
      </c>
      <c r="H327" t="s">
        <v>35</v>
      </c>
      <c r="I327" s="3">
        <f>42600*1.1</f>
        <v>46860.000000000007</v>
      </c>
      <c r="J327">
        <v>21201</v>
      </c>
      <c r="K327" t="s">
        <v>50</v>
      </c>
      <c r="L327" t="s">
        <v>63</v>
      </c>
    </row>
    <row r="328" spans="1:12" hidden="1" x14ac:dyDescent="0.2">
      <c r="A328" t="s">
        <v>19</v>
      </c>
      <c r="B328" t="s">
        <v>37</v>
      </c>
      <c r="C328">
        <v>2017</v>
      </c>
      <c r="D328" t="s">
        <v>32</v>
      </c>
      <c r="E328" t="s">
        <v>15</v>
      </c>
      <c r="F328" t="s">
        <v>16</v>
      </c>
      <c r="G328">
        <v>252</v>
      </c>
      <c r="H328" t="s">
        <v>35</v>
      </c>
      <c r="I328" s="3">
        <f t="shared" ref="I328:I329" si="81">42600*1.1</f>
        <v>46860.000000000007</v>
      </c>
      <c r="J328">
        <v>21201</v>
      </c>
      <c r="K328" t="s">
        <v>50</v>
      </c>
      <c r="L328" t="s">
        <v>63</v>
      </c>
    </row>
    <row r="329" spans="1:12" hidden="1" x14ac:dyDescent="0.2">
      <c r="A329" t="s">
        <v>19</v>
      </c>
      <c r="B329" t="s">
        <v>37</v>
      </c>
      <c r="C329">
        <v>2018</v>
      </c>
      <c r="D329" t="s">
        <v>32</v>
      </c>
      <c r="E329" t="s">
        <v>15</v>
      </c>
      <c r="F329" t="s">
        <v>16</v>
      </c>
      <c r="G329">
        <v>252</v>
      </c>
      <c r="H329" t="s">
        <v>35</v>
      </c>
      <c r="I329" s="3">
        <f t="shared" si="81"/>
        <v>46860.000000000007</v>
      </c>
      <c r="J329">
        <v>21201</v>
      </c>
      <c r="K329" t="s">
        <v>50</v>
      </c>
      <c r="L329" t="s">
        <v>63</v>
      </c>
    </row>
    <row r="330" spans="1:12" hidden="1" x14ac:dyDescent="0.2">
      <c r="A330" t="s">
        <v>21</v>
      </c>
      <c r="B330" t="s">
        <v>37</v>
      </c>
      <c r="C330">
        <v>2015</v>
      </c>
      <c r="D330" t="s">
        <v>32</v>
      </c>
      <c r="E330" t="s">
        <v>15</v>
      </c>
      <c r="F330" t="s">
        <v>16</v>
      </c>
      <c r="G330">
        <v>252</v>
      </c>
      <c r="H330" t="s">
        <v>39</v>
      </c>
      <c r="I330" s="3">
        <v>41500</v>
      </c>
      <c r="J330">
        <v>21201</v>
      </c>
      <c r="K330" t="s">
        <v>50</v>
      </c>
      <c r="L330" t="s">
        <v>64</v>
      </c>
    </row>
    <row r="331" spans="1:12" hidden="1" x14ac:dyDescent="0.2">
      <c r="A331" t="s">
        <v>21</v>
      </c>
      <c r="B331" t="s">
        <v>37</v>
      </c>
      <c r="C331">
        <v>2016</v>
      </c>
      <c r="D331" t="s">
        <v>32</v>
      </c>
      <c r="E331" t="s">
        <v>15</v>
      </c>
      <c r="F331" t="s">
        <v>16</v>
      </c>
      <c r="G331">
        <v>252</v>
      </c>
      <c r="H331" t="s">
        <v>39</v>
      </c>
      <c r="I331" s="3">
        <f>41500*1.1</f>
        <v>45650.000000000007</v>
      </c>
      <c r="J331">
        <v>21201</v>
      </c>
      <c r="K331" t="s">
        <v>50</v>
      </c>
      <c r="L331" t="s">
        <v>64</v>
      </c>
    </row>
    <row r="332" spans="1:12" hidden="1" x14ac:dyDescent="0.2">
      <c r="A332" t="s">
        <v>21</v>
      </c>
      <c r="B332" t="s">
        <v>37</v>
      </c>
      <c r="C332">
        <v>2017</v>
      </c>
      <c r="D332" t="s">
        <v>32</v>
      </c>
      <c r="E332" t="s">
        <v>15</v>
      </c>
      <c r="F332" t="s">
        <v>16</v>
      </c>
      <c r="G332">
        <v>252</v>
      </c>
      <c r="H332" t="s">
        <v>39</v>
      </c>
      <c r="I332" s="3">
        <f t="shared" ref="I332:I333" si="82">41500*1.1</f>
        <v>45650.000000000007</v>
      </c>
      <c r="J332">
        <v>21201</v>
      </c>
      <c r="K332" t="s">
        <v>50</v>
      </c>
      <c r="L332" t="s">
        <v>64</v>
      </c>
    </row>
    <row r="333" spans="1:12" hidden="1" x14ac:dyDescent="0.2">
      <c r="A333" t="s">
        <v>21</v>
      </c>
      <c r="B333" t="s">
        <v>37</v>
      </c>
      <c r="C333">
        <v>2018</v>
      </c>
      <c r="D333" t="s">
        <v>32</v>
      </c>
      <c r="E333" t="s">
        <v>15</v>
      </c>
      <c r="F333" t="s">
        <v>16</v>
      </c>
      <c r="G333">
        <v>252</v>
      </c>
      <c r="H333" t="s">
        <v>39</v>
      </c>
      <c r="I333" s="3">
        <f t="shared" si="82"/>
        <v>45650.000000000007</v>
      </c>
      <c r="J333">
        <v>21201</v>
      </c>
      <c r="K333" t="s">
        <v>50</v>
      </c>
      <c r="L333" t="s">
        <v>64</v>
      </c>
    </row>
    <row r="334" spans="1:12" hidden="1" x14ac:dyDescent="0.2">
      <c r="A334" t="s">
        <v>21</v>
      </c>
      <c r="B334" t="s">
        <v>37</v>
      </c>
      <c r="C334">
        <v>2015</v>
      </c>
      <c r="D334" t="s">
        <v>24</v>
      </c>
      <c r="E334" t="s">
        <v>15</v>
      </c>
      <c r="F334" t="s">
        <v>16</v>
      </c>
      <c r="G334">
        <v>200</v>
      </c>
      <c r="H334" t="s">
        <v>40</v>
      </c>
      <c r="I334" s="3">
        <v>30000</v>
      </c>
      <c r="J334">
        <v>21201</v>
      </c>
      <c r="K334" t="s">
        <v>50</v>
      </c>
      <c r="L334" t="s">
        <v>65</v>
      </c>
    </row>
    <row r="335" spans="1:12" hidden="1" x14ac:dyDescent="0.2">
      <c r="A335" t="s">
        <v>21</v>
      </c>
      <c r="B335" t="s">
        <v>37</v>
      </c>
      <c r="C335">
        <v>2016</v>
      </c>
      <c r="D335" t="s">
        <v>24</v>
      </c>
      <c r="E335" t="s">
        <v>15</v>
      </c>
      <c r="F335" t="s">
        <v>16</v>
      </c>
      <c r="G335">
        <v>200</v>
      </c>
      <c r="H335" t="s">
        <v>40</v>
      </c>
      <c r="I335" s="3">
        <f>I334*1.1</f>
        <v>33000</v>
      </c>
      <c r="J335">
        <v>21201</v>
      </c>
      <c r="K335" t="s">
        <v>50</v>
      </c>
      <c r="L335" t="s">
        <v>65</v>
      </c>
    </row>
    <row r="336" spans="1:12" hidden="1" x14ac:dyDescent="0.2">
      <c r="A336" t="s">
        <v>21</v>
      </c>
      <c r="B336" t="s">
        <v>37</v>
      </c>
      <c r="C336">
        <v>2017</v>
      </c>
      <c r="D336" t="s">
        <v>24</v>
      </c>
      <c r="E336" t="s">
        <v>15</v>
      </c>
      <c r="F336" t="s">
        <v>16</v>
      </c>
      <c r="G336">
        <v>200</v>
      </c>
      <c r="H336" t="s">
        <v>40</v>
      </c>
      <c r="I336" s="3">
        <f t="shared" ref="I336:I337" si="83">I335*1.1</f>
        <v>36300</v>
      </c>
      <c r="J336">
        <v>21201</v>
      </c>
      <c r="K336" t="s">
        <v>50</v>
      </c>
      <c r="L336" t="s">
        <v>65</v>
      </c>
    </row>
    <row r="337" spans="1:12" hidden="1" x14ac:dyDescent="0.2">
      <c r="A337" t="s">
        <v>21</v>
      </c>
      <c r="B337" t="s">
        <v>37</v>
      </c>
      <c r="C337">
        <v>2018</v>
      </c>
      <c r="D337" t="s">
        <v>24</v>
      </c>
      <c r="E337" t="s">
        <v>15</v>
      </c>
      <c r="F337" t="s">
        <v>16</v>
      </c>
      <c r="G337">
        <v>200</v>
      </c>
      <c r="H337" t="s">
        <v>40</v>
      </c>
      <c r="I337" s="3">
        <f t="shared" si="83"/>
        <v>39930</v>
      </c>
      <c r="J337">
        <v>21201</v>
      </c>
      <c r="K337" t="s">
        <v>50</v>
      </c>
      <c r="L337" t="s">
        <v>65</v>
      </c>
    </row>
    <row r="338" spans="1:12" hidden="1" x14ac:dyDescent="0.2">
      <c r="A338" t="s">
        <v>12</v>
      </c>
      <c r="B338" t="s">
        <v>41</v>
      </c>
      <c r="C338">
        <v>2015</v>
      </c>
      <c r="D338" t="s">
        <v>14</v>
      </c>
      <c r="E338" t="s">
        <v>15</v>
      </c>
      <c r="F338" t="s">
        <v>16</v>
      </c>
      <c r="G338">
        <v>240</v>
      </c>
      <c r="H338" t="s">
        <v>30</v>
      </c>
      <c r="I338" s="3">
        <v>22050</v>
      </c>
      <c r="J338">
        <v>21201</v>
      </c>
      <c r="K338" t="s">
        <v>50</v>
      </c>
      <c r="L338" t="s">
        <v>66</v>
      </c>
    </row>
    <row r="339" spans="1:12" hidden="1" x14ac:dyDescent="0.2">
      <c r="A339" t="s">
        <v>12</v>
      </c>
      <c r="B339" t="s">
        <v>41</v>
      </c>
      <c r="C339">
        <v>2016</v>
      </c>
      <c r="D339" t="s">
        <v>14</v>
      </c>
      <c r="E339" t="s">
        <v>15</v>
      </c>
      <c r="F339" t="s">
        <v>16</v>
      </c>
      <c r="G339">
        <v>240</v>
      </c>
      <c r="H339" t="s">
        <v>30</v>
      </c>
      <c r="I339" s="3">
        <f>I338*1.1</f>
        <v>24255.000000000004</v>
      </c>
      <c r="J339">
        <v>21201</v>
      </c>
      <c r="K339" t="s">
        <v>50</v>
      </c>
      <c r="L339" t="s">
        <v>66</v>
      </c>
    </row>
    <row r="340" spans="1:12" hidden="1" x14ac:dyDescent="0.2">
      <c r="A340" t="s">
        <v>12</v>
      </c>
      <c r="B340" t="s">
        <v>41</v>
      </c>
      <c r="C340">
        <v>2017</v>
      </c>
      <c r="D340" t="s">
        <v>14</v>
      </c>
      <c r="E340" t="s">
        <v>15</v>
      </c>
      <c r="F340" t="s">
        <v>16</v>
      </c>
      <c r="G340">
        <v>240</v>
      </c>
      <c r="H340" t="s">
        <v>30</v>
      </c>
      <c r="I340" s="3">
        <f t="shared" ref="I340:I341" si="84">I339*1.1</f>
        <v>26680.500000000007</v>
      </c>
      <c r="J340">
        <v>21201</v>
      </c>
      <c r="K340" t="s">
        <v>50</v>
      </c>
      <c r="L340" t="s">
        <v>66</v>
      </c>
    </row>
    <row r="341" spans="1:12" hidden="1" x14ac:dyDescent="0.2">
      <c r="A341" t="s">
        <v>12</v>
      </c>
      <c r="B341" t="s">
        <v>41</v>
      </c>
      <c r="C341">
        <v>2018</v>
      </c>
      <c r="D341" t="s">
        <v>14</v>
      </c>
      <c r="E341" t="s">
        <v>15</v>
      </c>
      <c r="F341" t="s">
        <v>16</v>
      </c>
      <c r="G341">
        <v>240</v>
      </c>
      <c r="H341" t="s">
        <v>30</v>
      </c>
      <c r="I341" s="3">
        <f t="shared" si="84"/>
        <v>29348.55000000001</v>
      </c>
      <c r="J341">
        <v>21201</v>
      </c>
      <c r="K341" t="s">
        <v>50</v>
      </c>
      <c r="L341" t="s">
        <v>66</v>
      </c>
    </row>
    <row r="342" spans="1:12" hidden="1" x14ac:dyDescent="0.2">
      <c r="A342" t="s">
        <v>19</v>
      </c>
      <c r="B342" t="s">
        <v>41</v>
      </c>
      <c r="C342">
        <v>2015</v>
      </c>
      <c r="D342" t="s">
        <v>14</v>
      </c>
      <c r="E342" t="s">
        <v>15</v>
      </c>
      <c r="F342" t="s">
        <v>16</v>
      </c>
      <c r="G342">
        <v>320</v>
      </c>
      <c r="H342" t="s">
        <v>42</v>
      </c>
      <c r="I342" s="3">
        <v>23000</v>
      </c>
      <c r="J342">
        <v>21201</v>
      </c>
      <c r="K342" t="s">
        <v>50</v>
      </c>
      <c r="L342" t="s">
        <v>67</v>
      </c>
    </row>
    <row r="343" spans="1:12" hidden="1" x14ac:dyDescent="0.2">
      <c r="A343" t="s">
        <v>19</v>
      </c>
      <c r="B343" t="s">
        <v>41</v>
      </c>
      <c r="C343">
        <v>2016</v>
      </c>
      <c r="D343" t="s">
        <v>14</v>
      </c>
      <c r="E343" t="s">
        <v>15</v>
      </c>
      <c r="F343" t="s">
        <v>16</v>
      </c>
      <c r="G343">
        <v>320</v>
      </c>
      <c r="H343" t="s">
        <v>42</v>
      </c>
      <c r="I343" s="3">
        <f>I342*1.1</f>
        <v>25300.000000000004</v>
      </c>
      <c r="J343">
        <v>21201</v>
      </c>
      <c r="K343" t="s">
        <v>50</v>
      </c>
      <c r="L343" t="s">
        <v>67</v>
      </c>
    </row>
    <row r="344" spans="1:12" hidden="1" x14ac:dyDescent="0.2">
      <c r="A344" t="s">
        <v>19</v>
      </c>
      <c r="B344" t="s">
        <v>41</v>
      </c>
      <c r="C344">
        <v>2017</v>
      </c>
      <c r="D344" t="s">
        <v>14</v>
      </c>
      <c r="E344" t="s">
        <v>15</v>
      </c>
      <c r="F344" t="s">
        <v>16</v>
      </c>
      <c r="G344">
        <v>320</v>
      </c>
      <c r="H344" t="s">
        <v>42</v>
      </c>
      <c r="I344" s="3">
        <f t="shared" ref="I344:I345" si="85">I343*1.1</f>
        <v>27830.000000000007</v>
      </c>
      <c r="J344">
        <v>21201</v>
      </c>
      <c r="K344" t="s">
        <v>50</v>
      </c>
      <c r="L344" t="s">
        <v>67</v>
      </c>
    </row>
    <row r="345" spans="1:12" hidden="1" x14ac:dyDescent="0.2">
      <c r="A345" t="s">
        <v>19</v>
      </c>
      <c r="B345" t="s">
        <v>41</v>
      </c>
      <c r="C345">
        <v>2018</v>
      </c>
      <c r="D345" t="s">
        <v>14</v>
      </c>
      <c r="E345" t="s">
        <v>15</v>
      </c>
      <c r="F345" t="s">
        <v>16</v>
      </c>
      <c r="G345">
        <v>320</v>
      </c>
      <c r="H345" t="s">
        <v>42</v>
      </c>
      <c r="I345" s="3">
        <f t="shared" si="85"/>
        <v>30613.000000000011</v>
      </c>
      <c r="J345">
        <v>21201</v>
      </c>
      <c r="K345" t="s">
        <v>50</v>
      </c>
      <c r="L345" t="s">
        <v>67</v>
      </c>
    </row>
    <row r="346" spans="1:12" hidden="1" x14ac:dyDescent="0.2">
      <c r="A346" t="s">
        <v>21</v>
      </c>
      <c r="B346" t="s">
        <v>41</v>
      </c>
      <c r="C346">
        <v>2015</v>
      </c>
      <c r="D346" t="s">
        <v>14</v>
      </c>
      <c r="E346" t="s">
        <v>15</v>
      </c>
      <c r="F346" t="s">
        <v>16</v>
      </c>
      <c r="G346">
        <v>260</v>
      </c>
      <c r="H346" t="s">
        <v>43</v>
      </c>
      <c r="I346" s="3">
        <v>26000</v>
      </c>
      <c r="J346">
        <v>21201</v>
      </c>
      <c r="K346" t="s">
        <v>50</v>
      </c>
      <c r="L346" t="s">
        <v>68</v>
      </c>
    </row>
    <row r="347" spans="1:12" hidden="1" x14ac:dyDescent="0.2">
      <c r="A347" t="s">
        <v>21</v>
      </c>
      <c r="B347" t="s">
        <v>41</v>
      </c>
      <c r="C347">
        <v>2016</v>
      </c>
      <c r="D347" t="s">
        <v>14</v>
      </c>
      <c r="E347" t="s">
        <v>15</v>
      </c>
      <c r="F347" t="s">
        <v>16</v>
      </c>
      <c r="G347">
        <v>260</v>
      </c>
      <c r="H347" t="s">
        <v>43</v>
      </c>
      <c r="I347" s="3">
        <f>I346*1.1</f>
        <v>28600.000000000004</v>
      </c>
      <c r="J347">
        <v>21201</v>
      </c>
      <c r="K347" t="s">
        <v>50</v>
      </c>
      <c r="L347" t="s">
        <v>68</v>
      </c>
    </row>
    <row r="348" spans="1:12" hidden="1" x14ac:dyDescent="0.2">
      <c r="A348" t="s">
        <v>21</v>
      </c>
      <c r="B348" t="s">
        <v>41</v>
      </c>
      <c r="C348">
        <v>2017</v>
      </c>
      <c r="D348" t="s">
        <v>14</v>
      </c>
      <c r="E348" t="s">
        <v>15</v>
      </c>
      <c r="F348" t="s">
        <v>16</v>
      </c>
      <c r="G348">
        <v>260</v>
      </c>
      <c r="H348" t="s">
        <v>43</v>
      </c>
      <c r="I348" s="3">
        <f t="shared" ref="I348:I349" si="86">I347*1.1</f>
        <v>31460.000000000007</v>
      </c>
      <c r="J348">
        <v>21201</v>
      </c>
      <c r="K348" t="s">
        <v>50</v>
      </c>
      <c r="L348" t="s">
        <v>68</v>
      </c>
    </row>
    <row r="349" spans="1:12" hidden="1" x14ac:dyDescent="0.2">
      <c r="A349" t="s">
        <v>21</v>
      </c>
      <c r="B349" t="s">
        <v>41</v>
      </c>
      <c r="C349">
        <v>2018</v>
      </c>
      <c r="D349" t="s">
        <v>14</v>
      </c>
      <c r="E349" t="s">
        <v>15</v>
      </c>
      <c r="F349" t="s">
        <v>16</v>
      </c>
      <c r="G349">
        <v>260</v>
      </c>
      <c r="H349" t="s">
        <v>43</v>
      </c>
      <c r="I349" s="3">
        <f t="shared" si="86"/>
        <v>34606.000000000007</v>
      </c>
      <c r="J349">
        <v>21201</v>
      </c>
      <c r="K349" t="s">
        <v>50</v>
      </c>
      <c r="L349" t="s">
        <v>68</v>
      </c>
    </row>
    <row r="350" spans="1:12" hidden="1" x14ac:dyDescent="0.2">
      <c r="A350" t="s">
        <v>23</v>
      </c>
      <c r="B350" t="s">
        <v>41</v>
      </c>
      <c r="C350">
        <v>2015</v>
      </c>
      <c r="D350" t="s">
        <v>24</v>
      </c>
      <c r="E350" t="s">
        <v>15</v>
      </c>
      <c r="F350" t="s">
        <v>16</v>
      </c>
      <c r="G350">
        <v>130</v>
      </c>
      <c r="H350" t="s">
        <v>44</v>
      </c>
      <c r="I350" s="3">
        <v>14995</v>
      </c>
      <c r="J350">
        <v>21201</v>
      </c>
      <c r="K350" t="s">
        <v>50</v>
      </c>
      <c r="L350" t="s">
        <v>69</v>
      </c>
    </row>
    <row r="351" spans="1:12" hidden="1" x14ac:dyDescent="0.2">
      <c r="A351" t="s">
        <v>23</v>
      </c>
      <c r="B351" t="s">
        <v>41</v>
      </c>
      <c r="C351">
        <v>2016</v>
      </c>
      <c r="D351" t="s">
        <v>24</v>
      </c>
      <c r="E351" t="s">
        <v>15</v>
      </c>
      <c r="F351" t="s">
        <v>16</v>
      </c>
      <c r="G351">
        <v>130</v>
      </c>
      <c r="H351" t="s">
        <v>44</v>
      </c>
      <c r="I351" s="3">
        <f>I350*1.1</f>
        <v>16494.5</v>
      </c>
      <c r="J351">
        <v>21201</v>
      </c>
      <c r="K351" t="s">
        <v>50</v>
      </c>
      <c r="L351" t="s">
        <v>69</v>
      </c>
    </row>
    <row r="352" spans="1:12" hidden="1" x14ac:dyDescent="0.2">
      <c r="A352" t="s">
        <v>23</v>
      </c>
      <c r="B352" t="s">
        <v>41</v>
      </c>
      <c r="C352">
        <v>2017</v>
      </c>
      <c r="D352" t="s">
        <v>24</v>
      </c>
      <c r="E352" t="s">
        <v>15</v>
      </c>
      <c r="F352" t="s">
        <v>16</v>
      </c>
      <c r="G352">
        <v>130</v>
      </c>
      <c r="H352" t="s">
        <v>44</v>
      </c>
      <c r="I352" s="3">
        <f t="shared" ref="I352:I353" si="87">I351*1.1</f>
        <v>18143.95</v>
      </c>
      <c r="J352">
        <v>21201</v>
      </c>
      <c r="K352" t="s">
        <v>50</v>
      </c>
      <c r="L352" t="s">
        <v>69</v>
      </c>
    </row>
    <row r="353" spans="1:12" hidden="1" x14ac:dyDescent="0.2">
      <c r="A353" t="s">
        <v>23</v>
      </c>
      <c r="B353" t="s">
        <v>41</v>
      </c>
      <c r="C353">
        <v>2018</v>
      </c>
      <c r="D353" t="s">
        <v>24</v>
      </c>
      <c r="E353" t="s">
        <v>15</v>
      </c>
      <c r="F353" t="s">
        <v>16</v>
      </c>
      <c r="G353">
        <v>130</v>
      </c>
      <c r="H353" t="s">
        <v>44</v>
      </c>
      <c r="I353" s="3">
        <f t="shared" si="87"/>
        <v>19958.345000000001</v>
      </c>
      <c r="J353">
        <v>21201</v>
      </c>
      <c r="K353" t="s">
        <v>50</v>
      </c>
      <c r="L353" t="s">
        <v>69</v>
      </c>
    </row>
    <row r="354" spans="1:12" hidden="1" x14ac:dyDescent="0.2">
      <c r="A354" t="s">
        <v>12</v>
      </c>
      <c r="B354" t="s">
        <v>45</v>
      </c>
      <c r="C354">
        <v>2015</v>
      </c>
      <c r="D354" t="s">
        <v>32</v>
      </c>
      <c r="E354" t="s">
        <v>15</v>
      </c>
      <c r="F354" t="s">
        <v>16</v>
      </c>
      <c r="G354">
        <v>275</v>
      </c>
      <c r="H354" t="s">
        <v>46</v>
      </c>
      <c r="I354" s="3">
        <v>38210</v>
      </c>
      <c r="J354">
        <v>21201</v>
      </c>
      <c r="K354" t="s">
        <v>50</v>
      </c>
      <c r="L354" t="s">
        <v>70</v>
      </c>
    </row>
    <row r="355" spans="1:12" hidden="1" x14ac:dyDescent="0.2">
      <c r="A355" t="s">
        <v>12</v>
      </c>
      <c r="B355" t="s">
        <v>45</v>
      </c>
      <c r="C355">
        <v>2016</v>
      </c>
      <c r="D355" t="s">
        <v>32</v>
      </c>
      <c r="E355" t="s">
        <v>15</v>
      </c>
      <c r="F355" t="s">
        <v>16</v>
      </c>
      <c r="G355">
        <v>275</v>
      </c>
      <c r="H355" t="s">
        <v>46</v>
      </c>
      <c r="I355" s="3">
        <f>I354*1.1</f>
        <v>42031</v>
      </c>
      <c r="J355">
        <v>21201</v>
      </c>
      <c r="K355" t="s">
        <v>50</v>
      </c>
      <c r="L355" t="s">
        <v>70</v>
      </c>
    </row>
    <row r="356" spans="1:12" hidden="1" x14ac:dyDescent="0.2">
      <c r="A356" t="s">
        <v>12</v>
      </c>
      <c r="B356" t="s">
        <v>45</v>
      </c>
      <c r="C356">
        <v>2017</v>
      </c>
      <c r="D356" t="s">
        <v>32</v>
      </c>
      <c r="E356" t="s">
        <v>15</v>
      </c>
      <c r="F356" t="s">
        <v>16</v>
      </c>
      <c r="G356">
        <v>275</v>
      </c>
      <c r="H356" t="s">
        <v>46</v>
      </c>
      <c r="I356" s="3">
        <f t="shared" ref="I356:I357" si="88">I355*1.1</f>
        <v>46234.100000000006</v>
      </c>
      <c r="J356">
        <v>21201</v>
      </c>
      <c r="K356" t="s">
        <v>50</v>
      </c>
      <c r="L356" t="s">
        <v>70</v>
      </c>
    </row>
    <row r="357" spans="1:12" hidden="1" x14ac:dyDescent="0.2">
      <c r="A357" t="s">
        <v>12</v>
      </c>
      <c r="B357" t="s">
        <v>45</v>
      </c>
      <c r="C357">
        <v>2018</v>
      </c>
      <c r="D357" t="s">
        <v>32</v>
      </c>
      <c r="E357" t="s">
        <v>15</v>
      </c>
      <c r="F357" t="s">
        <v>16</v>
      </c>
      <c r="G357">
        <v>275</v>
      </c>
      <c r="H357" t="s">
        <v>46</v>
      </c>
      <c r="I357" s="3">
        <f t="shared" si="88"/>
        <v>50857.510000000009</v>
      </c>
      <c r="J357">
        <v>21201</v>
      </c>
      <c r="K357" t="s">
        <v>50</v>
      </c>
      <c r="L357" t="s">
        <v>70</v>
      </c>
    </row>
    <row r="358" spans="1:12" hidden="1" x14ac:dyDescent="0.2">
      <c r="A358" t="s">
        <v>19</v>
      </c>
      <c r="B358" t="s">
        <v>45</v>
      </c>
      <c r="C358">
        <v>2015</v>
      </c>
      <c r="D358" t="s">
        <v>32</v>
      </c>
      <c r="E358" t="s">
        <v>15</v>
      </c>
      <c r="F358" t="s">
        <v>16</v>
      </c>
      <c r="G358">
        <v>350</v>
      </c>
      <c r="H358" t="s">
        <v>46</v>
      </c>
      <c r="I358" s="3">
        <v>40640</v>
      </c>
      <c r="J358">
        <v>21201</v>
      </c>
      <c r="K358" t="s">
        <v>50</v>
      </c>
      <c r="L358" t="s">
        <v>71</v>
      </c>
    </row>
    <row r="359" spans="1:12" hidden="1" x14ac:dyDescent="0.2">
      <c r="A359" t="s">
        <v>19</v>
      </c>
      <c r="B359" t="s">
        <v>45</v>
      </c>
      <c r="C359">
        <v>2016</v>
      </c>
      <c r="D359" t="s">
        <v>32</v>
      </c>
      <c r="E359" t="s">
        <v>15</v>
      </c>
      <c r="F359" t="s">
        <v>16</v>
      </c>
      <c r="G359">
        <v>350</v>
      </c>
      <c r="H359" t="s">
        <v>46</v>
      </c>
      <c r="I359" s="3">
        <f>I358*1.06</f>
        <v>43078.400000000001</v>
      </c>
      <c r="J359">
        <v>21201</v>
      </c>
      <c r="K359" t="s">
        <v>50</v>
      </c>
      <c r="L359" t="s">
        <v>71</v>
      </c>
    </row>
    <row r="360" spans="1:12" hidden="1" x14ac:dyDescent="0.2">
      <c r="A360" t="s">
        <v>19</v>
      </c>
      <c r="B360" t="s">
        <v>45</v>
      </c>
      <c r="C360">
        <v>2017</v>
      </c>
      <c r="D360" t="s">
        <v>32</v>
      </c>
      <c r="E360" t="s">
        <v>15</v>
      </c>
      <c r="F360" t="s">
        <v>16</v>
      </c>
      <c r="G360">
        <v>350</v>
      </c>
      <c r="H360" t="s">
        <v>46</v>
      </c>
      <c r="I360" s="3">
        <f t="shared" ref="I360:I361" si="89">I359*1.06</f>
        <v>45663.104000000007</v>
      </c>
      <c r="J360">
        <v>21201</v>
      </c>
      <c r="K360" t="s">
        <v>50</v>
      </c>
      <c r="L360" t="s">
        <v>71</v>
      </c>
    </row>
    <row r="361" spans="1:12" hidden="1" x14ac:dyDescent="0.2">
      <c r="A361" t="s">
        <v>19</v>
      </c>
      <c r="B361" t="s">
        <v>45</v>
      </c>
      <c r="C361">
        <v>2018</v>
      </c>
      <c r="D361" t="s">
        <v>32</v>
      </c>
      <c r="E361" t="s">
        <v>15</v>
      </c>
      <c r="F361" t="s">
        <v>16</v>
      </c>
      <c r="G361">
        <v>350</v>
      </c>
      <c r="H361" t="s">
        <v>46</v>
      </c>
      <c r="I361" s="3">
        <f t="shared" si="89"/>
        <v>48402.890240000008</v>
      </c>
      <c r="J361">
        <v>21201</v>
      </c>
      <c r="K361" t="s">
        <v>50</v>
      </c>
      <c r="L361" t="s">
        <v>71</v>
      </c>
    </row>
    <row r="362" spans="1:12" hidden="1" x14ac:dyDescent="0.2">
      <c r="A362" t="s">
        <v>21</v>
      </c>
      <c r="B362" t="s">
        <v>45</v>
      </c>
      <c r="C362">
        <v>2015</v>
      </c>
      <c r="D362" t="s">
        <v>32</v>
      </c>
      <c r="E362" t="s">
        <v>15</v>
      </c>
      <c r="F362" t="s">
        <v>16</v>
      </c>
      <c r="G362">
        <v>295</v>
      </c>
      <c r="H362" t="s">
        <v>47</v>
      </c>
      <c r="I362" s="3">
        <v>43270</v>
      </c>
      <c r="J362">
        <v>21201</v>
      </c>
      <c r="K362" t="s">
        <v>50</v>
      </c>
      <c r="L362" t="s">
        <v>72</v>
      </c>
    </row>
    <row r="363" spans="1:12" hidden="1" x14ac:dyDescent="0.2">
      <c r="A363" t="s">
        <v>21</v>
      </c>
      <c r="B363" t="s">
        <v>45</v>
      </c>
      <c r="C363">
        <v>2016</v>
      </c>
      <c r="D363" t="s">
        <v>32</v>
      </c>
      <c r="E363" t="s">
        <v>15</v>
      </c>
      <c r="F363" t="s">
        <v>16</v>
      </c>
      <c r="G363">
        <v>295</v>
      </c>
      <c r="H363" t="s">
        <v>47</v>
      </c>
      <c r="I363" s="3">
        <f>I362*1.06</f>
        <v>45866.200000000004</v>
      </c>
      <c r="J363">
        <v>21201</v>
      </c>
      <c r="K363" t="s">
        <v>50</v>
      </c>
      <c r="L363" t="s">
        <v>72</v>
      </c>
    </row>
    <row r="364" spans="1:12" hidden="1" x14ac:dyDescent="0.2">
      <c r="A364" t="s">
        <v>21</v>
      </c>
      <c r="B364" t="s">
        <v>45</v>
      </c>
      <c r="C364">
        <v>2017</v>
      </c>
      <c r="D364" t="s">
        <v>32</v>
      </c>
      <c r="E364" t="s">
        <v>15</v>
      </c>
      <c r="F364" t="s">
        <v>16</v>
      </c>
      <c r="G364">
        <v>295</v>
      </c>
      <c r="H364" t="s">
        <v>47</v>
      </c>
      <c r="I364" s="3">
        <f t="shared" ref="I364:I365" si="90">I363*1.06</f>
        <v>48618.172000000006</v>
      </c>
      <c r="J364">
        <v>21201</v>
      </c>
      <c r="K364" t="s">
        <v>50</v>
      </c>
      <c r="L364" t="s">
        <v>72</v>
      </c>
    </row>
    <row r="365" spans="1:12" hidden="1" x14ac:dyDescent="0.2">
      <c r="A365" t="s">
        <v>21</v>
      </c>
      <c r="B365" t="s">
        <v>45</v>
      </c>
      <c r="C365">
        <v>2018</v>
      </c>
      <c r="D365" t="s">
        <v>32</v>
      </c>
      <c r="E365" t="s">
        <v>15</v>
      </c>
      <c r="F365" t="s">
        <v>16</v>
      </c>
      <c r="G365">
        <v>295</v>
      </c>
      <c r="H365" t="s">
        <v>47</v>
      </c>
      <c r="I365" s="3">
        <f t="shared" si="90"/>
        <v>51535.262320000009</v>
      </c>
      <c r="J365">
        <v>21201</v>
      </c>
      <c r="K365" t="s">
        <v>50</v>
      </c>
      <c r="L365" t="s">
        <v>72</v>
      </c>
    </row>
    <row r="366" spans="1:12" hidden="1" x14ac:dyDescent="0.2">
      <c r="A366" t="s">
        <v>23</v>
      </c>
      <c r="B366" t="s">
        <v>45</v>
      </c>
      <c r="C366">
        <v>2015</v>
      </c>
      <c r="D366" t="s">
        <v>24</v>
      </c>
      <c r="E366" t="s">
        <v>15</v>
      </c>
      <c r="F366" t="s">
        <v>16</v>
      </c>
      <c r="G366">
        <v>134</v>
      </c>
      <c r="H366" t="s">
        <v>48</v>
      </c>
      <c r="I366" s="3">
        <v>31250</v>
      </c>
      <c r="J366">
        <v>21201</v>
      </c>
      <c r="K366" t="s">
        <v>50</v>
      </c>
      <c r="L366" t="s">
        <v>73</v>
      </c>
    </row>
    <row r="367" spans="1:12" hidden="1" x14ac:dyDescent="0.2">
      <c r="A367" t="s">
        <v>23</v>
      </c>
      <c r="B367" t="s">
        <v>45</v>
      </c>
      <c r="C367">
        <v>2016</v>
      </c>
      <c r="D367" t="s">
        <v>24</v>
      </c>
      <c r="E367" t="s">
        <v>15</v>
      </c>
      <c r="F367" t="s">
        <v>16</v>
      </c>
      <c r="G367">
        <v>134</v>
      </c>
      <c r="H367" t="s">
        <v>48</v>
      </c>
      <c r="I367" s="3">
        <f>I366*1.05</f>
        <v>32812.5</v>
      </c>
      <c r="J367">
        <v>21201</v>
      </c>
      <c r="K367" t="s">
        <v>50</v>
      </c>
      <c r="L367" t="s">
        <v>73</v>
      </c>
    </row>
    <row r="368" spans="1:12" hidden="1" x14ac:dyDescent="0.2">
      <c r="A368" t="s">
        <v>23</v>
      </c>
      <c r="B368" t="s">
        <v>45</v>
      </c>
      <c r="C368">
        <v>2017</v>
      </c>
      <c r="D368" t="s">
        <v>24</v>
      </c>
      <c r="E368" t="s">
        <v>15</v>
      </c>
      <c r="F368" t="s">
        <v>16</v>
      </c>
      <c r="G368">
        <v>134</v>
      </c>
      <c r="H368" t="s">
        <v>48</v>
      </c>
      <c r="I368" s="3">
        <f t="shared" ref="I368:I369" si="91">I367*1.05</f>
        <v>34453.125</v>
      </c>
      <c r="J368">
        <v>21201</v>
      </c>
      <c r="K368" t="s">
        <v>50</v>
      </c>
      <c r="L368" t="s">
        <v>73</v>
      </c>
    </row>
    <row r="369" spans="1:12" hidden="1" x14ac:dyDescent="0.2">
      <c r="A369" t="s">
        <v>23</v>
      </c>
      <c r="B369" t="s">
        <v>45</v>
      </c>
      <c r="C369">
        <v>2018</v>
      </c>
      <c r="D369" t="s">
        <v>24</v>
      </c>
      <c r="E369" t="s">
        <v>15</v>
      </c>
      <c r="F369" t="s">
        <v>16</v>
      </c>
      <c r="G369">
        <v>134</v>
      </c>
      <c r="H369" t="s">
        <v>48</v>
      </c>
      <c r="I369" s="3">
        <f t="shared" si="91"/>
        <v>36175.78125</v>
      </c>
      <c r="J369">
        <v>21201</v>
      </c>
      <c r="K369" t="s">
        <v>50</v>
      </c>
      <c r="L369" t="s">
        <v>73</v>
      </c>
    </row>
  </sheetData>
  <autoFilter ref="A1:L369" xr:uid="{00000000-0009-0000-0000-000000000000}">
    <filterColumn colId="1">
      <filters>
        <filter val="BMW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79"/>
  <sheetViews>
    <sheetView workbookViewId="0">
      <selection activeCell="L6" sqref="L6"/>
    </sheetView>
  </sheetViews>
  <sheetFormatPr baseColWidth="10" defaultColWidth="8.83203125" defaultRowHeight="15" x14ac:dyDescent="0.2"/>
  <cols>
    <col min="4" max="4" width="17.5" bestFit="1" customWidth="1"/>
    <col min="5" max="5" width="18.1640625" bestFit="1" customWidth="1"/>
    <col min="8" max="8" width="11.1640625" bestFit="1" customWidth="1"/>
    <col min="12" max="12" width="12.83203125" customWidth="1"/>
  </cols>
  <sheetData>
    <row r="1" spans="1:12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2" t="s">
        <v>9</v>
      </c>
      <c r="K1" s="1" t="s">
        <v>11</v>
      </c>
      <c r="L1" s="1" t="s">
        <v>10</v>
      </c>
    </row>
    <row r="2" spans="1:12" x14ac:dyDescent="0.2">
      <c r="A2" t="s">
        <v>12</v>
      </c>
      <c r="B2" t="s">
        <v>13</v>
      </c>
      <c r="C2">
        <v>2015</v>
      </c>
      <c r="D2" t="s">
        <v>52</v>
      </c>
      <c r="E2" t="s">
        <v>14</v>
      </c>
      <c r="F2" t="s">
        <v>15</v>
      </c>
      <c r="G2" t="s">
        <v>16</v>
      </c>
      <c r="H2">
        <v>130</v>
      </c>
      <c r="I2" t="s">
        <v>29</v>
      </c>
      <c r="J2" s="3">
        <v>14995</v>
      </c>
      <c r="K2" t="s">
        <v>51</v>
      </c>
      <c r="L2">
        <v>20000</v>
      </c>
    </row>
    <row r="3" spans="1:12" x14ac:dyDescent="0.2">
      <c r="A3" t="s">
        <v>19</v>
      </c>
      <c r="B3" t="s">
        <v>26</v>
      </c>
      <c r="C3">
        <v>2016</v>
      </c>
      <c r="D3" t="s">
        <v>53</v>
      </c>
      <c r="E3" t="s">
        <v>24</v>
      </c>
      <c r="F3" t="s">
        <v>34</v>
      </c>
      <c r="H3">
        <v>134</v>
      </c>
      <c r="I3" t="s">
        <v>43</v>
      </c>
      <c r="J3" s="3">
        <v>15295</v>
      </c>
      <c r="K3" t="s">
        <v>50</v>
      </c>
      <c r="L3">
        <v>21201</v>
      </c>
    </row>
    <row r="4" spans="1:12" x14ac:dyDescent="0.2">
      <c r="A4" t="s">
        <v>21</v>
      </c>
      <c r="B4" t="s">
        <v>31</v>
      </c>
      <c r="C4">
        <v>2017</v>
      </c>
      <c r="D4" t="s">
        <v>54</v>
      </c>
      <c r="E4" t="s">
        <v>32</v>
      </c>
      <c r="H4">
        <v>138</v>
      </c>
      <c r="I4" t="s">
        <v>42</v>
      </c>
      <c r="J4" s="3">
        <f>J3*1.1</f>
        <v>16824.5</v>
      </c>
      <c r="K4" t="s">
        <v>49</v>
      </c>
      <c r="L4">
        <v>17050</v>
      </c>
    </row>
    <row r="5" spans="1:12" x14ac:dyDescent="0.2">
      <c r="A5" t="s">
        <v>23</v>
      </c>
      <c r="B5" t="s">
        <v>37</v>
      </c>
      <c r="C5">
        <v>2018</v>
      </c>
      <c r="D5" t="s">
        <v>55</v>
      </c>
      <c r="H5">
        <v>177</v>
      </c>
      <c r="I5" t="s">
        <v>47</v>
      </c>
      <c r="J5" s="3">
        <f>J4*1.1</f>
        <v>18506.95</v>
      </c>
      <c r="K5" t="s">
        <v>18</v>
      </c>
      <c r="L5">
        <v>22033</v>
      </c>
    </row>
    <row r="6" spans="1:12" x14ac:dyDescent="0.2">
      <c r="B6" t="s">
        <v>41</v>
      </c>
      <c r="D6" t="s">
        <v>56</v>
      </c>
      <c r="H6">
        <v>185</v>
      </c>
      <c r="I6" t="s">
        <v>40</v>
      </c>
      <c r="J6" s="3">
        <v>17950</v>
      </c>
    </row>
    <row r="7" spans="1:12" x14ac:dyDescent="0.2">
      <c r="B7" t="s">
        <v>45</v>
      </c>
      <c r="D7" t="s">
        <v>57</v>
      </c>
      <c r="H7">
        <v>190</v>
      </c>
      <c r="I7" t="s">
        <v>36</v>
      </c>
      <c r="J7" s="3">
        <f t="shared" ref="J7:J12" si="0">J6*1.1</f>
        <v>19745</v>
      </c>
    </row>
    <row r="8" spans="1:12" x14ac:dyDescent="0.2">
      <c r="D8" t="s">
        <v>58</v>
      </c>
      <c r="H8">
        <v>200</v>
      </c>
      <c r="I8" t="s">
        <v>20</v>
      </c>
      <c r="J8" s="3">
        <f t="shared" si="0"/>
        <v>21719.5</v>
      </c>
    </row>
    <row r="9" spans="1:12" x14ac:dyDescent="0.2">
      <c r="D9" t="s">
        <v>59</v>
      </c>
      <c r="H9">
        <v>240</v>
      </c>
      <c r="I9" t="s">
        <v>27</v>
      </c>
      <c r="J9" s="3">
        <f t="shared" si="0"/>
        <v>23891.45</v>
      </c>
    </row>
    <row r="10" spans="1:12" x14ac:dyDescent="0.2">
      <c r="D10" t="s">
        <v>60</v>
      </c>
      <c r="H10">
        <v>245</v>
      </c>
      <c r="I10" t="s">
        <v>28</v>
      </c>
      <c r="J10" s="3">
        <f t="shared" si="0"/>
        <v>26280.595000000001</v>
      </c>
    </row>
    <row r="11" spans="1:12" x14ac:dyDescent="0.2">
      <c r="D11" t="s">
        <v>61</v>
      </c>
      <c r="H11">
        <v>252</v>
      </c>
      <c r="I11" t="s">
        <v>46</v>
      </c>
      <c r="J11" s="3">
        <f t="shared" si="0"/>
        <v>28908.654500000004</v>
      </c>
    </row>
    <row r="12" spans="1:12" x14ac:dyDescent="0.2">
      <c r="D12" t="s">
        <v>62</v>
      </c>
      <c r="H12">
        <v>260</v>
      </c>
      <c r="I12" t="s">
        <v>22</v>
      </c>
      <c r="J12" s="3">
        <f t="shared" si="0"/>
        <v>31799.519950000009</v>
      </c>
    </row>
    <row r="13" spans="1:12" x14ac:dyDescent="0.2">
      <c r="D13" t="s">
        <v>63</v>
      </c>
      <c r="H13">
        <v>266</v>
      </c>
      <c r="I13" t="s">
        <v>39</v>
      </c>
      <c r="J13" s="3">
        <v>22050</v>
      </c>
    </row>
    <row r="14" spans="1:12" x14ac:dyDescent="0.2">
      <c r="D14" t="s">
        <v>64</v>
      </c>
      <c r="H14">
        <v>275</v>
      </c>
      <c r="I14" t="s">
        <v>35</v>
      </c>
      <c r="J14" s="3">
        <v>23000</v>
      </c>
    </row>
    <row r="15" spans="1:12" x14ac:dyDescent="0.2">
      <c r="D15" t="s">
        <v>65</v>
      </c>
      <c r="H15">
        <v>290</v>
      </c>
      <c r="I15" t="s">
        <v>38</v>
      </c>
      <c r="J15" s="3">
        <f>J14*1.1</f>
        <v>25300.000000000004</v>
      </c>
    </row>
    <row r="16" spans="1:12" x14ac:dyDescent="0.2">
      <c r="D16" t="s">
        <v>66</v>
      </c>
      <c r="H16">
        <v>295</v>
      </c>
      <c r="I16" t="s">
        <v>30</v>
      </c>
      <c r="J16" s="3">
        <f>J15*1.1</f>
        <v>27830.000000000007</v>
      </c>
    </row>
    <row r="17" spans="4:10" x14ac:dyDescent="0.2">
      <c r="D17" t="s">
        <v>67</v>
      </c>
      <c r="H17">
        <v>320</v>
      </c>
      <c r="I17" t="s">
        <v>44</v>
      </c>
      <c r="J17" s="3">
        <f>J16*1.1</f>
        <v>30613.000000000011</v>
      </c>
    </row>
    <row r="18" spans="4:10" x14ac:dyDescent="0.2">
      <c r="D18" t="s">
        <v>68</v>
      </c>
      <c r="H18">
        <v>335</v>
      </c>
      <c r="I18" t="s">
        <v>17</v>
      </c>
      <c r="J18" s="3">
        <v>25680</v>
      </c>
    </row>
    <row r="19" spans="4:10" x14ac:dyDescent="0.2">
      <c r="D19" t="s">
        <v>69</v>
      </c>
      <c r="H19">
        <v>350</v>
      </c>
      <c r="I19" t="s">
        <v>25</v>
      </c>
      <c r="J19" s="3">
        <v>26000</v>
      </c>
    </row>
    <row r="20" spans="4:10" x14ac:dyDescent="0.2">
      <c r="D20" t="s">
        <v>70</v>
      </c>
      <c r="H20">
        <v>355</v>
      </c>
      <c r="I20" t="s">
        <v>33</v>
      </c>
      <c r="J20" s="3">
        <f>J19*1.1</f>
        <v>28600.000000000004</v>
      </c>
    </row>
    <row r="21" spans="4:10" x14ac:dyDescent="0.2">
      <c r="D21" t="s">
        <v>71</v>
      </c>
      <c r="H21">
        <v>420</v>
      </c>
      <c r="I21" t="s">
        <v>48</v>
      </c>
      <c r="J21" s="3">
        <v>27000</v>
      </c>
    </row>
    <row r="22" spans="4:10" x14ac:dyDescent="0.2">
      <c r="D22" t="s">
        <v>72</v>
      </c>
      <c r="J22" s="3">
        <f>J21*1.1</f>
        <v>29700.000000000004</v>
      </c>
    </row>
    <row r="23" spans="4:10" x14ac:dyDescent="0.2">
      <c r="D23" t="s">
        <v>73</v>
      </c>
      <c r="J23" s="3">
        <v>27895</v>
      </c>
    </row>
    <row r="24" spans="4:10" x14ac:dyDescent="0.2">
      <c r="J24" s="3">
        <f>J23*1.1</f>
        <v>30684.500000000004</v>
      </c>
    </row>
    <row r="25" spans="4:10" x14ac:dyDescent="0.2">
      <c r="J25" s="3">
        <f>J24*1.05</f>
        <v>32218.725000000006</v>
      </c>
    </row>
    <row r="26" spans="4:10" x14ac:dyDescent="0.2">
      <c r="J26" s="3">
        <f>J25*1.1</f>
        <v>35440.597500000011</v>
      </c>
    </row>
    <row r="27" spans="4:10" x14ac:dyDescent="0.2">
      <c r="J27" s="3">
        <v>29315</v>
      </c>
    </row>
    <row r="28" spans="4:10" x14ac:dyDescent="0.2">
      <c r="J28" s="3">
        <f>J27*1.1</f>
        <v>32246.500000000004</v>
      </c>
    </row>
    <row r="29" spans="4:10" x14ac:dyDescent="0.2">
      <c r="J29" s="3">
        <f>J28*1.05</f>
        <v>33858.825000000004</v>
      </c>
    </row>
    <row r="30" spans="4:10" x14ac:dyDescent="0.2">
      <c r="J30" s="3">
        <v>30000</v>
      </c>
    </row>
    <row r="31" spans="4:10" x14ac:dyDescent="0.2">
      <c r="J31" s="3">
        <f>J30*1.1</f>
        <v>33000</v>
      </c>
    </row>
    <row r="32" spans="4:10" x14ac:dyDescent="0.2">
      <c r="J32" s="3">
        <f>J31*1.1</f>
        <v>36300</v>
      </c>
    </row>
    <row r="33" spans="10:10" x14ac:dyDescent="0.2">
      <c r="J33" s="3">
        <f>J32*1.1</f>
        <v>39930</v>
      </c>
    </row>
    <row r="34" spans="10:10" x14ac:dyDescent="0.2">
      <c r="J34" s="3">
        <v>31250</v>
      </c>
    </row>
    <row r="35" spans="10:10" x14ac:dyDescent="0.2">
      <c r="J35" s="3">
        <f>J34*1.05</f>
        <v>32812.5</v>
      </c>
    </row>
    <row r="36" spans="10:10" x14ac:dyDescent="0.2">
      <c r="J36" s="3">
        <f>J35*1.1</f>
        <v>36093.75</v>
      </c>
    </row>
    <row r="37" spans="10:10" x14ac:dyDescent="0.2">
      <c r="J37" s="3">
        <f>J36*1.1</f>
        <v>39703.125</v>
      </c>
    </row>
    <row r="38" spans="10:10" x14ac:dyDescent="0.2">
      <c r="J38" s="3">
        <f>J37*1.05</f>
        <v>41688.28125</v>
      </c>
    </row>
    <row r="39" spans="10:10" x14ac:dyDescent="0.2">
      <c r="J39" s="3">
        <f>J38*1.1</f>
        <v>45857.109375000007</v>
      </c>
    </row>
    <row r="40" spans="10:10" x14ac:dyDescent="0.2">
      <c r="J40" s="3">
        <f>J39*1.1</f>
        <v>50442.820312500015</v>
      </c>
    </row>
    <row r="41" spans="10:10" x14ac:dyDescent="0.2">
      <c r="J41" s="3">
        <f>J40*1.1</f>
        <v>55487.102343750019</v>
      </c>
    </row>
    <row r="42" spans="10:10" x14ac:dyDescent="0.2">
      <c r="J42" s="3">
        <f>J41*1.05</f>
        <v>58261.457460937519</v>
      </c>
    </row>
    <row r="43" spans="10:10" x14ac:dyDescent="0.2">
      <c r="J43" s="3">
        <f>J42*1.1</f>
        <v>64087.603207031279</v>
      </c>
    </row>
    <row r="44" spans="10:10" x14ac:dyDescent="0.2">
      <c r="J44" s="3">
        <v>34900</v>
      </c>
    </row>
    <row r="45" spans="10:10" x14ac:dyDescent="0.2">
      <c r="J45" s="3">
        <f>J44*1.1</f>
        <v>38390</v>
      </c>
    </row>
    <row r="46" spans="10:10" x14ac:dyDescent="0.2">
      <c r="J46" s="3">
        <v>36000</v>
      </c>
    </row>
    <row r="47" spans="10:10" x14ac:dyDescent="0.2">
      <c r="J47" s="3">
        <f>J46*1.05</f>
        <v>37800</v>
      </c>
    </row>
    <row r="48" spans="10:10" x14ac:dyDescent="0.2">
      <c r="J48" s="3">
        <f>J47*1.1</f>
        <v>41580</v>
      </c>
    </row>
    <row r="49" spans="10:10" x14ac:dyDescent="0.2">
      <c r="J49" s="3">
        <f>J48*1.1</f>
        <v>45738.000000000007</v>
      </c>
    </row>
    <row r="50" spans="10:10" x14ac:dyDescent="0.2">
      <c r="J50" s="3">
        <v>38210</v>
      </c>
    </row>
    <row r="51" spans="10:10" x14ac:dyDescent="0.2">
      <c r="J51" s="3">
        <f>34900*1.1</f>
        <v>38390</v>
      </c>
    </row>
    <row r="52" spans="10:10" x14ac:dyDescent="0.2">
      <c r="J52" s="3">
        <f>J51*1.1</f>
        <v>42229</v>
      </c>
    </row>
    <row r="53" spans="10:10" x14ac:dyDescent="0.2">
      <c r="J53" s="3">
        <f>J52*1.1</f>
        <v>46451.9</v>
      </c>
    </row>
    <row r="54" spans="10:10" x14ac:dyDescent="0.2">
      <c r="J54" s="3">
        <f>J53*1.1</f>
        <v>51097.090000000004</v>
      </c>
    </row>
    <row r="55" spans="10:10" x14ac:dyDescent="0.2">
      <c r="J55" s="3">
        <v>40640</v>
      </c>
    </row>
    <row r="56" spans="10:10" x14ac:dyDescent="0.2">
      <c r="J56" s="3">
        <v>41500</v>
      </c>
    </row>
    <row r="57" spans="10:10" x14ac:dyDescent="0.2">
      <c r="J57" s="3">
        <f>J56*1.1</f>
        <v>45650.000000000007</v>
      </c>
    </row>
    <row r="58" spans="10:10" x14ac:dyDescent="0.2">
      <c r="J58" s="3">
        <v>42600</v>
      </c>
    </row>
    <row r="59" spans="10:10" x14ac:dyDescent="0.2">
      <c r="J59" s="3">
        <f>J58*1.06</f>
        <v>45156</v>
      </c>
    </row>
    <row r="60" spans="10:10" x14ac:dyDescent="0.2">
      <c r="J60" s="3">
        <v>43270</v>
      </c>
    </row>
    <row r="61" spans="10:10" x14ac:dyDescent="0.2">
      <c r="J61" s="3">
        <f>J60*1.1</f>
        <v>47597.000000000007</v>
      </c>
    </row>
    <row r="62" spans="10:10" x14ac:dyDescent="0.2">
      <c r="J62" s="3">
        <f>41500*1.1</f>
        <v>45650.000000000007</v>
      </c>
    </row>
    <row r="63" spans="10:10" x14ac:dyDescent="0.2">
      <c r="J63" s="3">
        <f>J62*1.06</f>
        <v>48389.000000000007</v>
      </c>
    </row>
    <row r="64" spans="10:10" x14ac:dyDescent="0.2">
      <c r="J64" s="3">
        <f>J63*1.06</f>
        <v>51292.340000000011</v>
      </c>
    </row>
    <row r="65" spans="10:10" x14ac:dyDescent="0.2">
      <c r="J65" s="3">
        <f>J64*1.1</f>
        <v>56421.574000000015</v>
      </c>
    </row>
    <row r="66" spans="10:10" x14ac:dyDescent="0.2">
      <c r="J66" s="3">
        <f>42600*1.1</f>
        <v>46860.000000000007</v>
      </c>
    </row>
    <row r="67" spans="10:10" x14ac:dyDescent="0.2">
      <c r="J67" s="3">
        <f>J66*1.1</f>
        <v>51546.000000000015</v>
      </c>
    </row>
    <row r="68" spans="10:10" x14ac:dyDescent="0.2">
      <c r="J68" s="3">
        <f>J67*1.06</f>
        <v>54638.760000000017</v>
      </c>
    </row>
    <row r="69" spans="10:10" x14ac:dyDescent="0.2">
      <c r="J69" s="3">
        <f>J68*1.06</f>
        <v>57917.08560000002</v>
      </c>
    </row>
    <row r="70" spans="10:10" x14ac:dyDescent="0.2">
      <c r="J70" s="3">
        <f>J69*1.1</f>
        <v>63708.794160000027</v>
      </c>
    </row>
    <row r="71" spans="10:10" x14ac:dyDescent="0.2">
      <c r="J71" s="3">
        <f>J70*1.06</f>
        <v>67531.321809600035</v>
      </c>
    </row>
    <row r="72" spans="10:10" x14ac:dyDescent="0.2">
      <c r="J72" s="3">
        <v>52000</v>
      </c>
    </row>
    <row r="73" spans="10:10" x14ac:dyDescent="0.2">
      <c r="J73" s="3">
        <v>52650</v>
      </c>
    </row>
    <row r="74" spans="10:10" x14ac:dyDescent="0.2">
      <c r="J74" s="3">
        <f>J73*1.1</f>
        <v>57915.000000000007</v>
      </c>
    </row>
    <row r="75" spans="10:10" x14ac:dyDescent="0.2">
      <c r="J75" s="3">
        <f>52650*1.1</f>
        <v>57915.000000000007</v>
      </c>
    </row>
    <row r="76" spans="10:10" x14ac:dyDescent="0.2">
      <c r="J76" s="3">
        <f>J75*1.1</f>
        <v>63706.500000000015</v>
      </c>
    </row>
    <row r="77" spans="10:10" x14ac:dyDescent="0.2">
      <c r="J77" s="3">
        <f>J76*1.1</f>
        <v>70077.150000000023</v>
      </c>
    </row>
    <row r="78" spans="10:10" x14ac:dyDescent="0.2">
      <c r="J78" s="3">
        <v>83650</v>
      </c>
    </row>
    <row r="79" spans="10:10" x14ac:dyDescent="0.2">
      <c r="J79" s="3">
        <f>83650*1.1</f>
        <v>92015.000000000015</v>
      </c>
    </row>
  </sheetData>
  <sortState ref="K2:K79">
    <sortCondition ref="K2:K7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 filterMode="1"/>
  <dimension ref="A1:J386"/>
  <sheetViews>
    <sheetView tabSelected="1" zoomScale="166" zoomScaleNormal="85" workbookViewId="0">
      <pane ySplit="14" topLeftCell="A15" activePane="bottomLeft" state="frozen"/>
      <selection pane="bottomLeft" activeCell="B8" sqref="B8"/>
    </sheetView>
  </sheetViews>
  <sheetFormatPr baseColWidth="10" defaultColWidth="8.83203125" defaultRowHeight="15" x14ac:dyDescent="0.2"/>
  <cols>
    <col min="1" max="1" width="18.1640625" bestFit="1" customWidth="1"/>
    <col min="2" max="2" width="26.83203125" customWidth="1"/>
    <col min="3" max="3" width="5.1640625" bestFit="1" customWidth="1"/>
    <col min="4" max="4" width="18.1640625" bestFit="1" customWidth="1"/>
    <col min="5" max="5" width="11.83203125" bestFit="1" customWidth="1"/>
    <col min="7" max="7" width="11.1640625" bestFit="1" customWidth="1"/>
    <col min="8" max="8" width="7.33203125" bestFit="1" customWidth="1"/>
    <col min="9" max="9" width="7.83203125" bestFit="1" customWidth="1"/>
    <col min="10" max="10" width="5" bestFit="1" customWidth="1"/>
  </cols>
  <sheetData>
    <row r="1" spans="1:10" ht="14" customHeight="1" x14ac:dyDescent="0.2">
      <c r="A1" s="18" t="s">
        <v>0</v>
      </c>
      <c r="B1" s="19" t="s">
        <v>19</v>
      </c>
      <c r="C1" s="4"/>
      <c r="D1" s="4"/>
      <c r="E1" s="4"/>
      <c r="F1" s="4"/>
      <c r="G1" s="5"/>
      <c r="H1" s="1"/>
      <c r="I1" s="1"/>
      <c r="J1" s="1"/>
    </row>
    <row r="2" spans="1:10" x14ac:dyDescent="0.2">
      <c r="A2" s="20" t="s">
        <v>1</v>
      </c>
      <c r="B2" s="21" t="s">
        <v>26</v>
      </c>
      <c r="C2" s="6"/>
      <c r="D2" s="24" t="s">
        <v>74</v>
      </c>
      <c r="E2" s="24"/>
      <c r="F2" s="24"/>
      <c r="G2" s="7"/>
      <c r="H2" s="1"/>
      <c r="I2" s="1"/>
      <c r="J2" s="1"/>
    </row>
    <row r="3" spans="1:10" x14ac:dyDescent="0.2">
      <c r="A3" s="20" t="s">
        <v>2</v>
      </c>
      <c r="B3" s="21">
        <v>2015</v>
      </c>
      <c r="C3" s="6"/>
      <c r="D3" s="24"/>
      <c r="E3" s="24"/>
      <c r="F3" s="24"/>
      <c r="G3" s="7"/>
      <c r="H3" s="1"/>
      <c r="I3" s="1"/>
      <c r="J3" s="1"/>
    </row>
    <row r="4" spans="1:10" x14ac:dyDescent="0.2">
      <c r="A4" s="20" t="s">
        <v>4</v>
      </c>
      <c r="B4" s="21" t="s">
        <v>32</v>
      </c>
      <c r="C4" s="6"/>
      <c r="D4" s="6"/>
      <c r="E4" s="6"/>
      <c r="F4" s="6"/>
      <c r="G4" s="7"/>
      <c r="H4" s="1"/>
      <c r="I4" s="1"/>
      <c r="J4" s="1"/>
    </row>
    <row r="5" spans="1:10" x14ac:dyDescent="0.2">
      <c r="A5" s="20" t="s">
        <v>5</v>
      </c>
      <c r="B5" s="21" t="s">
        <v>15</v>
      </c>
      <c r="C5" s="6"/>
      <c r="D5" s="6"/>
      <c r="E5" s="6"/>
      <c r="F5" s="6"/>
      <c r="G5" s="7"/>
      <c r="H5" s="1"/>
      <c r="I5" s="1"/>
      <c r="J5" s="1"/>
    </row>
    <row r="6" spans="1:10" x14ac:dyDescent="0.2">
      <c r="A6" s="20" t="s">
        <v>7</v>
      </c>
      <c r="B6" s="21">
        <v>245</v>
      </c>
      <c r="C6" s="6"/>
      <c r="D6" s="6"/>
      <c r="E6" s="6"/>
      <c r="F6" s="6"/>
      <c r="G6" s="7"/>
      <c r="H6" s="1"/>
      <c r="I6" s="1"/>
      <c r="J6" s="1"/>
    </row>
    <row r="7" spans="1:10" x14ac:dyDescent="0.2">
      <c r="A7" s="20" t="s">
        <v>8</v>
      </c>
      <c r="B7" s="21" t="s">
        <v>36</v>
      </c>
      <c r="C7" s="6"/>
      <c r="D7" s="6"/>
      <c r="E7" s="6"/>
      <c r="F7" s="6"/>
      <c r="G7" s="7"/>
      <c r="H7" s="1"/>
      <c r="I7" s="1"/>
      <c r="J7" s="1"/>
    </row>
    <row r="8" spans="1:10" x14ac:dyDescent="0.2">
      <c r="A8" s="22" t="s">
        <v>9</v>
      </c>
      <c r="B8" s="23">
        <v>18506.95</v>
      </c>
      <c r="C8" s="8"/>
      <c r="D8" s="8"/>
      <c r="E8" s="8"/>
      <c r="F8" s="8"/>
      <c r="G8" s="9"/>
      <c r="H8" s="2"/>
      <c r="I8" s="2"/>
      <c r="J8" s="2"/>
    </row>
    <row r="9" spans="1:10" x14ac:dyDescent="0.2">
      <c r="A9" s="20" t="s">
        <v>11</v>
      </c>
      <c r="B9" s="21" t="s">
        <v>18</v>
      </c>
      <c r="C9" s="6"/>
      <c r="D9" s="6"/>
      <c r="E9" s="6"/>
      <c r="F9" s="6"/>
      <c r="G9" s="7"/>
      <c r="H9" s="1"/>
      <c r="I9" s="1"/>
      <c r="J9" s="1"/>
    </row>
    <row r="10" spans="1:10" x14ac:dyDescent="0.2">
      <c r="A10" s="16" t="s">
        <v>10</v>
      </c>
      <c r="B10" s="17">
        <f>VLOOKUP(B9,Sheet2!K2:L5,2)</f>
        <v>22033</v>
      </c>
      <c r="C10" s="6"/>
      <c r="D10" s="6"/>
      <c r="E10" s="6"/>
      <c r="F10" s="6"/>
      <c r="G10" s="7"/>
      <c r="H10" s="1"/>
      <c r="I10" s="1"/>
    </row>
    <row r="11" spans="1:10" x14ac:dyDescent="0.2">
      <c r="A11" s="10"/>
      <c r="B11" s="11"/>
      <c r="C11" s="11"/>
      <c r="D11" s="11"/>
      <c r="E11" s="11"/>
      <c r="F11" s="11"/>
      <c r="G11" s="12"/>
    </row>
    <row r="12" spans="1:10" x14ac:dyDescent="0.2">
      <c r="A12" s="10"/>
      <c r="B12" s="11"/>
      <c r="C12" s="11"/>
      <c r="D12" s="11"/>
      <c r="E12" s="11"/>
      <c r="F12" s="11"/>
      <c r="G12" s="12"/>
    </row>
    <row r="13" spans="1:10" ht="16" thickBot="1" x14ac:dyDescent="0.25">
      <c r="A13" s="13"/>
      <c r="B13" s="14"/>
      <c r="C13" s="14"/>
      <c r="D13" s="14"/>
      <c r="E13" s="14"/>
      <c r="F13" s="14"/>
      <c r="G13" s="15"/>
    </row>
    <row r="18" spans="1:10" x14ac:dyDescent="0.2">
      <c r="A18" s="1" t="s">
        <v>0</v>
      </c>
      <c r="B18" s="1" t="s">
        <v>1</v>
      </c>
      <c r="C18" s="1" t="s">
        <v>2</v>
      </c>
      <c r="D18" s="1" t="s">
        <v>4</v>
      </c>
      <c r="E18" s="1" t="s">
        <v>5</v>
      </c>
      <c r="F18" s="1" t="s">
        <v>6</v>
      </c>
      <c r="G18" s="1" t="s">
        <v>7</v>
      </c>
      <c r="H18" s="1" t="s">
        <v>8</v>
      </c>
      <c r="I18" s="2" t="s">
        <v>9</v>
      </c>
      <c r="J18" s="1" t="s">
        <v>11</v>
      </c>
    </row>
    <row r="19" spans="1:10" hidden="1" x14ac:dyDescent="0.2">
      <c r="A19" t="s">
        <v>12</v>
      </c>
      <c r="B19" t="s">
        <v>13</v>
      </c>
      <c r="C19">
        <v>2015</v>
      </c>
      <c r="D19" t="s">
        <v>14</v>
      </c>
      <c r="E19" t="s">
        <v>15</v>
      </c>
      <c r="F19" t="s">
        <v>16</v>
      </c>
      <c r="G19">
        <v>177</v>
      </c>
      <c r="H19" t="s">
        <v>17</v>
      </c>
      <c r="I19" s="3">
        <v>17950</v>
      </c>
      <c r="J19" t="s">
        <v>18</v>
      </c>
    </row>
    <row r="20" spans="1:10" hidden="1" x14ac:dyDescent="0.2">
      <c r="A20" t="s">
        <v>12</v>
      </c>
      <c r="B20" t="s">
        <v>13</v>
      </c>
      <c r="C20">
        <v>2016</v>
      </c>
      <c r="D20" t="s">
        <v>14</v>
      </c>
      <c r="E20" t="s">
        <v>15</v>
      </c>
      <c r="F20" t="s">
        <v>16</v>
      </c>
      <c r="G20">
        <v>177</v>
      </c>
      <c r="H20" t="s">
        <v>17</v>
      </c>
      <c r="I20" s="3">
        <f>I19*1.1</f>
        <v>19745</v>
      </c>
      <c r="J20" t="s">
        <v>18</v>
      </c>
    </row>
    <row r="21" spans="1:10" hidden="1" x14ac:dyDescent="0.2">
      <c r="A21" t="s">
        <v>12</v>
      </c>
      <c r="B21" t="s">
        <v>13</v>
      </c>
      <c r="C21">
        <v>2017</v>
      </c>
      <c r="D21" t="s">
        <v>14</v>
      </c>
      <c r="E21" t="s">
        <v>15</v>
      </c>
      <c r="F21" t="s">
        <v>16</v>
      </c>
      <c r="G21">
        <v>177</v>
      </c>
      <c r="H21" t="s">
        <v>17</v>
      </c>
      <c r="I21" s="3">
        <f t="shared" ref="I21:I22" si="0">I20*1.1</f>
        <v>21719.5</v>
      </c>
      <c r="J21" t="s">
        <v>18</v>
      </c>
    </row>
    <row r="22" spans="1:10" hidden="1" x14ac:dyDescent="0.2">
      <c r="A22" t="s">
        <v>12</v>
      </c>
      <c r="B22" t="s">
        <v>13</v>
      </c>
      <c r="C22">
        <v>2018</v>
      </c>
      <c r="D22" t="s">
        <v>14</v>
      </c>
      <c r="E22" t="s">
        <v>15</v>
      </c>
      <c r="F22" t="s">
        <v>16</v>
      </c>
      <c r="G22">
        <v>177</v>
      </c>
      <c r="H22" t="s">
        <v>17</v>
      </c>
      <c r="I22" s="3">
        <f t="shared" si="0"/>
        <v>23891.45</v>
      </c>
      <c r="J22" t="s">
        <v>18</v>
      </c>
    </row>
    <row r="23" spans="1:10" hidden="1" x14ac:dyDescent="0.2">
      <c r="A23" t="s">
        <v>19</v>
      </c>
      <c r="B23" t="s">
        <v>13</v>
      </c>
      <c r="C23">
        <v>2015</v>
      </c>
      <c r="D23" t="s">
        <v>14</v>
      </c>
      <c r="E23" t="s">
        <v>15</v>
      </c>
      <c r="F23" t="s">
        <v>16</v>
      </c>
      <c r="G23">
        <v>350</v>
      </c>
      <c r="H23" t="s">
        <v>20</v>
      </c>
      <c r="I23" s="3">
        <v>25680</v>
      </c>
      <c r="J23" t="s">
        <v>18</v>
      </c>
    </row>
    <row r="24" spans="1:10" hidden="1" x14ac:dyDescent="0.2">
      <c r="A24" t="s">
        <v>19</v>
      </c>
      <c r="B24" t="s">
        <v>13</v>
      </c>
      <c r="C24">
        <v>2016</v>
      </c>
      <c r="D24" t="s">
        <v>14</v>
      </c>
      <c r="E24" t="s">
        <v>15</v>
      </c>
      <c r="F24" t="s">
        <v>16</v>
      </c>
      <c r="G24">
        <v>350</v>
      </c>
      <c r="H24" t="s">
        <v>20</v>
      </c>
      <c r="I24" s="3">
        <f>I23*1.1</f>
        <v>28248.000000000004</v>
      </c>
      <c r="J24" t="s">
        <v>18</v>
      </c>
    </row>
    <row r="25" spans="1:10" hidden="1" x14ac:dyDescent="0.2">
      <c r="A25" t="s">
        <v>19</v>
      </c>
      <c r="B25" t="s">
        <v>13</v>
      </c>
      <c r="C25">
        <v>2017</v>
      </c>
      <c r="D25" t="s">
        <v>14</v>
      </c>
      <c r="E25" t="s">
        <v>15</v>
      </c>
      <c r="F25" t="s">
        <v>16</v>
      </c>
      <c r="G25">
        <v>350</v>
      </c>
      <c r="H25" t="s">
        <v>20</v>
      </c>
      <c r="I25" s="3">
        <f t="shared" ref="I25" si="1">I24*1.1</f>
        <v>31072.800000000007</v>
      </c>
      <c r="J25" t="s">
        <v>18</v>
      </c>
    </row>
    <row r="26" spans="1:10" hidden="1" x14ac:dyDescent="0.2">
      <c r="A26" t="s">
        <v>19</v>
      </c>
      <c r="B26" t="s">
        <v>13</v>
      </c>
      <c r="C26">
        <v>2018</v>
      </c>
      <c r="D26" t="s">
        <v>14</v>
      </c>
      <c r="E26" t="s">
        <v>15</v>
      </c>
      <c r="F26" t="s">
        <v>16</v>
      </c>
      <c r="G26">
        <v>350</v>
      </c>
      <c r="H26" t="s">
        <v>20</v>
      </c>
      <c r="I26" s="3">
        <f>I25*1.1</f>
        <v>34180.080000000009</v>
      </c>
      <c r="J26" t="s">
        <v>18</v>
      </c>
    </row>
    <row r="27" spans="1:10" hidden="1" x14ac:dyDescent="0.2">
      <c r="A27" t="s">
        <v>21</v>
      </c>
      <c r="B27" t="s">
        <v>13</v>
      </c>
      <c r="C27">
        <v>2015</v>
      </c>
      <c r="D27" t="s">
        <v>14</v>
      </c>
      <c r="E27" t="s">
        <v>15</v>
      </c>
      <c r="F27" t="s">
        <v>16</v>
      </c>
      <c r="G27">
        <v>245</v>
      </c>
      <c r="H27" t="s">
        <v>22</v>
      </c>
      <c r="I27" s="3">
        <v>29315</v>
      </c>
      <c r="J27" t="s">
        <v>18</v>
      </c>
    </row>
    <row r="28" spans="1:10" hidden="1" x14ac:dyDescent="0.2">
      <c r="A28" t="s">
        <v>21</v>
      </c>
      <c r="B28" t="s">
        <v>13</v>
      </c>
      <c r="C28">
        <v>2016</v>
      </c>
      <c r="D28" t="s">
        <v>14</v>
      </c>
      <c r="E28" t="s">
        <v>15</v>
      </c>
      <c r="F28" t="s">
        <v>16</v>
      </c>
      <c r="G28">
        <v>245</v>
      </c>
      <c r="H28" t="s">
        <v>22</v>
      </c>
      <c r="I28" s="3">
        <f>I27*1.1</f>
        <v>32246.500000000004</v>
      </c>
      <c r="J28" t="s">
        <v>18</v>
      </c>
    </row>
    <row r="29" spans="1:10" hidden="1" x14ac:dyDescent="0.2">
      <c r="A29" t="s">
        <v>21</v>
      </c>
      <c r="B29" t="s">
        <v>13</v>
      </c>
      <c r="C29">
        <v>2017</v>
      </c>
      <c r="D29" t="s">
        <v>14</v>
      </c>
      <c r="E29" t="s">
        <v>15</v>
      </c>
      <c r="F29" t="s">
        <v>16</v>
      </c>
      <c r="G29">
        <v>245</v>
      </c>
      <c r="H29" t="s">
        <v>22</v>
      </c>
      <c r="I29" s="3">
        <f t="shared" ref="I29:I30" si="2">I28*1.1</f>
        <v>35471.150000000009</v>
      </c>
      <c r="J29" t="s">
        <v>18</v>
      </c>
    </row>
    <row r="30" spans="1:10" hidden="1" x14ac:dyDescent="0.2">
      <c r="A30" t="s">
        <v>21</v>
      </c>
      <c r="B30" t="s">
        <v>13</v>
      </c>
      <c r="C30">
        <v>2018</v>
      </c>
      <c r="D30" t="s">
        <v>14</v>
      </c>
      <c r="E30" t="s">
        <v>15</v>
      </c>
      <c r="F30" t="s">
        <v>16</v>
      </c>
      <c r="G30">
        <v>245</v>
      </c>
      <c r="H30" t="s">
        <v>22</v>
      </c>
      <c r="I30" s="3">
        <f t="shared" si="2"/>
        <v>39018.265000000014</v>
      </c>
      <c r="J30" t="s">
        <v>18</v>
      </c>
    </row>
    <row r="31" spans="1:10" hidden="1" x14ac:dyDescent="0.2">
      <c r="A31" t="s">
        <v>23</v>
      </c>
      <c r="B31" t="s">
        <v>13</v>
      </c>
      <c r="C31">
        <v>2015</v>
      </c>
      <c r="D31" t="s">
        <v>24</v>
      </c>
      <c r="E31" t="s">
        <v>15</v>
      </c>
      <c r="F31" t="s">
        <v>16</v>
      </c>
      <c r="G31">
        <v>185</v>
      </c>
      <c r="H31" t="s">
        <v>25</v>
      </c>
      <c r="I31" s="3">
        <v>17950</v>
      </c>
      <c r="J31" t="s">
        <v>18</v>
      </c>
    </row>
    <row r="32" spans="1:10" hidden="1" x14ac:dyDescent="0.2">
      <c r="A32" t="s">
        <v>23</v>
      </c>
      <c r="B32" t="s">
        <v>13</v>
      </c>
      <c r="C32">
        <v>2016</v>
      </c>
      <c r="D32" t="s">
        <v>24</v>
      </c>
      <c r="E32" t="s">
        <v>15</v>
      </c>
      <c r="F32" t="s">
        <v>16</v>
      </c>
      <c r="G32">
        <v>185</v>
      </c>
      <c r="H32" t="s">
        <v>25</v>
      </c>
      <c r="I32" s="3">
        <f>I31*1.1</f>
        <v>19745</v>
      </c>
      <c r="J32" t="s">
        <v>18</v>
      </c>
    </row>
    <row r="33" spans="1:10" hidden="1" x14ac:dyDescent="0.2">
      <c r="A33" t="s">
        <v>23</v>
      </c>
      <c r="B33" t="s">
        <v>13</v>
      </c>
      <c r="C33">
        <v>2017</v>
      </c>
      <c r="D33" t="s">
        <v>24</v>
      </c>
      <c r="E33" t="s">
        <v>15</v>
      </c>
      <c r="F33" t="s">
        <v>16</v>
      </c>
      <c r="G33">
        <v>185</v>
      </c>
      <c r="H33" t="s">
        <v>25</v>
      </c>
      <c r="I33" s="3">
        <f t="shared" ref="I33:I34" si="3">I32*1.1</f>
        <v>21719.5</v>
      </c>
      <c r="J33" t="s">
        <v>18</v>
      </c>
    </row>
    <row r="34" spans="1:10" hidden="1" x14ac:dyDescent="0.2">
      <c r="A34" t="s">
        <v>23</v>
      </c>
      <c r="B34" t="s">
        <v>13</v>
      </c>
      <c r="C34">
        <v>2018</v>
      </c>
      <c r="D34" t="s">
        <v>24</v>
      </c>
      <c r="E34" t="s">
        <v>15</v>
      </c>
      <c r="F34" t="s">
        <v>16</v>
      </c>
      <c r="G34">
        <v>185</v>
      </c>
      <c r="H34" t="s">
        <v>25</v>
      </c>
      <c r="I34" s="3">
        <f t="shared" si="3"/>
        <v>23891.45</v>
      </c>
      <c r="J34" t="s">
        <v>18</v>
      </c>
    </row>
    <row r="35" spans="1:10" hidden="1" x14ac:dyDescent="0.2">
      <c r="A35" t="s">
        <v>12</v>
      </c>
      <c r="B35" t="s">
        <v>26</v>
      </c>
      <c r="C35">
        <v>2015</v>
      </c>
      <c r="D35" t="s">
        <v>14</v>
      </c>
      <c r="E35" t="s">
        <v>15</v>
      </c>
      <c r="F35" t="s">
        <v>16</v>
      </c>
      <c r="G35">
        <v>266</v>
      </c>
      <c r="H35" t="s">
        <v>27</v>
      </c>
      <c r="I35" s="3">
        <v>27895</v>
      </c>
      <c r="J35" t="s">
        <v>18</v>
      </c>
    </row>
    <row r="36" spans="1:10" hidden="1" x14ac:dyDescent="0.2">
      <c r="A36" t="s">
        <v>12</v>
      </c>
      <c r="B36" t="s">
        <v>26</v>
      </c>
      <c r="C36">
        <v>2016</v>
      </c>
      <c r="D36" t="s">
        <v>14</v>
      </c>
      <c r="E36" t="s">
        <v>15</v>
      </c>
      <c r="F36" t="s">
        <v>16</v>
      </c>
      <c r="G36">
        <v>266</v>
      </c>
      <c r="H36" t="s">
        <v>27</v>
      </c>
      <c r="I36" s="3">
        <f>I35*1.1</f>
        <v>30684.500000000004</v>
      </c>
      <c r="J36" t="s">
        <v>18</v>
      </c>
    </row>
    <row r="37" spans="1:10" hidden="1" x14ac:dyDescent="0.2">
      <c r="A37" t="s">
        <v>12</v>
      </c>
      <c r="B37" t="s">
        <v>26</v>
      </c>
      <c r="C37">
        <v>2017</v>
      </c>
      <c r="D37" t="s">
        <v>14</v>
      </c>
      <c r="E37" t="s">
        <v>15</v>
      </c>
      <c r="F37" t="s">
        <v>16</v>
      </c>
      <c r="G37">
        <v>266</v>
      </c>
      <c r="H37" t="s">
        <v>27</v>
      </c>
      <c r="I37" s="3">
        <f t="shared" ref="I37:I38" si="4">I36*1.1</f>
        <v>33752.950000000004</v>
      </c>
      <c r="J37" t="s">
        <v>18</v>
      </c>
    </row>
    <row r="38" spans="1:10" hidden="1" x14ac:dyDescent="0.2">
      <c r="A38" t="s">
        <v>12</v>
      </c>
      <c r="B38" t="s">
        <v>26</v>
      </c>
      <c r="C38">
        <v>2018</v>
      </c>
      <c r="D38" t="s">
        <v>14</v>
      </c>
      <c r="E38" t="s">
        <v>15</v>
      </c>
      <c r="F38" t="s">
        <v>16</v>
      </c>
      <c r="G38">
        <v>266</v>
      </c>
      <c r="H38" t="s">
        <v>27</v>
      </c>
      <c r="I38" s="3">
        <f t="shared" si="4"/>
        <v>37128.24500000001</v>
      </c>
      <c r="J38" t="s">
        <v>18</v>
      </c>
    </row>
    <row r="39" spans="1:10" x14ac:dyDescent="0.2">
      <c r="A39" t="s">
        <v>19</v>
      </c>
      <c r="B39" t="s">
        <v>26</v>
      </c>
      <c r="C39">
        <v>2015</v>
      </c>
      <c r="D39" t="s">
        <v>14</v>
      </c>
      <c r="E39" t="s">
        <v>15</v>
      </c>
      <c r="F39" t="s">
        <v>16</v>
      </c>
      <c r="G39">
        <v>350</v>
      </c>
      <c r="H39" t="s">
        <v>28</v>
      </c>
      <c r="I39" s="3">
        <v>27000</v>
      </c>
      <c r="J39" t="s">
        <v>18</v>
      </c>
    </row>
    <row r="40" spans="1:10" x14ac:dyDescent="0.2">
      <c r="A40" t="s">
        <v>19</v>
      </c>
      <c r="B40" t="s">
        <v>26</v>
      </c>
      <c r="C40">
        <v>2016</v>
      </c>
      <c r="D40" t="s">
        <v>14</v>
      </c>
      <c r="E40" t="s">
        <v>15</v>
      </c>
      <c r="F40" t="s">
        <v>16</v>
      </c>
      <c r="G40">
        <v>350</v>
      </c>
      <c r="H40" t="s">
        <v>28</v>
      </c>
      <c r="I40" s="3">
        <f>I39*1.05</f>
        <v>28350</v>
      </c>
      <c r="J40" t="s">
        <v>18</v>
      </c>
    </row>
    <row r="41" spans="1:10" x14ac:dyDescent="0.2">
      <c r="A41" t="s">
        <v>19</v>
      </c>
      <c r="B41" t="s">
        <v>26</v>
      </c>
      <c r="C41">
        <v>2017</v>
      </c>
      <c r="D41" t="s">
        <v>14</v>
      </c>
      <c r="E41" t="s">
        <v>15</v>
      </c>
      <c r="F41" t="s">
        <v>16</v>
      </c>
      <c r="G41">
        <v>350</v>
      </c>
      <c r="H41" t="s">
        <v>28</v>
      </c>
      <c r="I41" s="3">
        <f t="shared" ref="I41:I42" si="5">I40*1.05</f>
        <v>29767.5</v>
      </c>
      <c r="J41" t="s">
        <v>18</v>
      </c>
    </row>
    <row r="42" spans="1:10" x14ac:dyDescent="0.2">
      <c r="A42" t="s">
        <v>19</v>
      </c>
      <c r="B42" t="s">
        <v>26</v>
      </c>
      <c r="C42">
        <v>2018</v>
      </c>
      <c r="D42" t="s">
        <v>14</v>
      </c>
      <c r="E42" t="s">
        <v>15</v>
      </c>
      <c r="F42" t="s">
        <v>16</v>
      </c>
      <c r="G42">
        <v>350</v>
      </c>
      <c r="H42" t="s">
        <v>28</v>
      </c>
      <c r="I42" s="3">
        <f t="shared" si="5"/>
        <v>31255.875</v>
      </c>
      <c r="J42" t="s">
        <v>18</v>
      </c>
    </row>
    <row r="43" spans="1:10" hidden="1" x14ac:dyDescent="0.2">
      <c r="A43" t="s">
        <v>21</v>
      </c>
      <c r="B43" t="s">
        <v>26</v>
      </c>
      <c r="C43">
        <v>2015</v>
      </c>
      <c r="D43" t="s">
        <v>14</v>
      </c>
      <c r="E43" t="s">
        <v>15</v>
      </c>
      <c r="F43" t="s">
        <v>16</v>
      </c>
      <c r="G43">
        <v>355</v>
      </c>
      <c r="H43" t="s">
        <v>29</v>
      </c>
      <c r="I43" s="3">
        <v>52000</v>
      </c>
      <c r="J43" t="s">
        <v>18</v>
      </c>
    </row>
    <row r="44" spans="1:10" hidden="1" x14ac:dyDescent="0.2">
      <c r="A44" t="s">
        <v>21</v>
      </c>
      <c r="B44" t="s">
        <v>26</v>
      </c>
      <c r="C44">
        <v>2016</v>
      </c>
      <c r="D44" t="s">
        <v>14</v>
      </c>
      <c r="E44" t="s">
        <v>15</v>
      </c>
      <c r="F44" t="s">
        <v>16</v>
      </c>
      <c r="G44">
        <v>355</v>
      </c>
      <c r="H44" t="s">
        <v>29</v>
      </c>
      <c r="I44" s="3">
        <f>I43*1.1</f>
        <v>57200.000000000007</v>
      </c>
      <c r="J44" t="s">
        <v>18</v>
      </c>
    </row>
    <row r="45" spans="1:10" hidden="1" x14ac:dyDescent="0.2">
      <c r="A45" t="s">
        <v>21</v>
      </c>
      <c r="B45" t="s">
        <v>26</v>
      </c>
      <c r="C45">
        <v>2017</v>
      </c>
      <c r="D45" t="s">
        <v>14</v>
      </c>
      <c r="E45" t="s">
        <v>15</v>
      </c>
      <c r="F45" t="s">
        <v>16</v>
      </c>
      <c r="G45">
        <v>355</v>
      </c>
      <c r="H45" t="s">
        <v>29</v>
      </c>
      <c r="I45" s="3">
        <f t="shared" ref="I45:I46" si="6">I44*1.1</f>
        <v>62920.000000000015</v>
      </c>
      <c r="J45" t="s">
        <v>18</v>
      </c>
    </row>
    <row r="46" spans="1:10" hidden="1" x14ac:dyDescent="0.2">
      <c r="A46" t="s">
        <v>21</v>
      </c>
      <c r="B46" t="s">
        <v>26</v>
      </c>
      <c r="C46">
        <v>2018</v>
      </c>
      <c r="D46" t="s">
        <v>14</v>
      </c>
      <c r="E46" t="s">
        <v>15</v>
      </c>
      <c r="F46" t="s">
        <v>16</v>
      </c>
      <c r="G46">
        <v>355</v>
      </c>
      <c r="H46" t="s">
        <v>29</v>
      </c>
      <c r="I46" s="3">
        <f t="shared" si="6"/>
        <v>69212.000000000015</v>
      </c>
      <c r="J46" t="s">
        <v>18</v>
      </c>
    </row>
    <row r="47" spans="1:10" hidden="1" x14ac:dyDescent="0.2">
      <c r="A47" t="s">
        <v>23</v>
      </c>
      <c r="B47" t="s">
        <v>26</v>
      </c>
      <c r="C47">
        <v>2015</v>
      </c>
      <c r="D47" t="s">
        <v>24</v>
      </c>
      <c r="E47" t="s">
        <v>15</v>
      </c>
      <c r="F47" t="s">
        <v>16</v>
      </c>
      <c r="G47">
        <v>138</v>
      </c>
      <c r="H47" t="s">
        <v>30</v>
      </c>
      <c r="I47" s="3">
        <v>15295</v>
      </c>
      <c r="J47" t="s">
        <v>18</v>
      </c>
    </row>
    <row r="48" spans="1:10" hidden="1" x14ac:dyDescent="0.2">
      <c r="A48" t="s">
        <v>23</v>
      </c>
      <c r="B48" t="s">
        <v>26</v>
      </c>
      <c r="C48">
        <v>2016</v>
      </c>
      <c r="D48" t="s">
        <v>24</v>
      </c>
      <c r="E48" t="s">
        <v>15</v>
      </c>
      <c r="F48" t="s">
        <v>16</v>
      </c>
      <c r="G48">
        <v>138</v>
      </c>
      <c r="H48" t="s">
        <v>30</v>
      </c>
      <c r="I48" s="3">
        <f>I47*1.1</f>
        <v>16824.5</v>
      </c>
      <c r="J48" t="s">
        <v>18</v>
      </c>
    </row>
    <row r="49" spans="1:10" hidden="1" x14ac:dyDescent="0.2">
      <c r="A49" t="s">
        <v>23</v>
      </c>
      <c r="B49" t="s">
        <v>26</v>
      </c>
      <c r="C49">
        <v>2017</v>
      </c>
      <c r="D49" t="s">
        <v>24</v>
      </c>
      <c r="E49" t="s">
        <v>15</v>
      </c>
      <c r="F49" t="s">
        <v>16</v>
      </c>
      <c r="G49">
        <v>138</v>
      </c>
      <c r="H49" t="s">
        <v>30</v>
      </c>
      <c r="I49" s="3">
        <f t="shared" ref="I49:I50" si="7">I48*1.1</f>
        <v>18506.95</v>
      </c>
      <c r="J49" t="s">
        <v>18</v>
      </c>
    </row>
    <row r="50" spans="1:10" hidden="1" x14ac:dyDescent="0.2">
      <c r="A50" t="s">
        <v>23</v>
      </c>
      <c r="B50" t="s">
        <v>26</v>
      </c>
      <c r="C50">
        <v>2018</v>
      </c>
      <c r="D50" t="s">
        <v>24</v>
      </c>
      <c r="E50" t="s">
        <v>15</v>
      </c>
      <c r="F50" t="s">
        <v>16</v>
      </c>
      <c r="G50">
        <v>138</v>
      </c>
      <c r="H50" t="s">
        <v>30</v>
      </c>
      <c r="I50" s="3">
        <f t="shared" si="7"/>
        <v>20357.645000000004</v>
      </c>
      <c r="J50" t="s">
        <v>18</v>
      </c>
    </row>
    <row r="51" spans="1:10" hidden="1" x14ac:dyDescent="0.2">
      <c r="A51" t="s">
        <v>12</v>
      </c>
      <c r="B51" t="s">
        <v>31</v>
      </c>
      <c r="C51">
        <v>2015</v>
      </c>
      <c r="D51" t="s">
        <v>32</v>
      </c>
      <c r="E51" t="s">
        <v>15</v>
      </c>
      <c r="F51" t="s">
        <v>16</v>
      </c>
      <c r="G51">
        <v>290</v>
      </c>
      <c r="H51" t="s">
        <v>33</v>
      </c>
      <c r="I51" s="3">
        <v>34900</v>
      </c>
      <c r="J51" t="s">
        <v>18</v>
      </c>
    </row>
    <row r="52" spans="1:10" hidden="1" x14ac:dyDescent="0.2">
      <c r="A52" t="s">
        <v>12</v>
      </c>
      <c r="B52" t="s">
        <v>31</v>
      </c>
      <c r="C52">
        <v>2016</v>
      </c>
      <c r="D52" t="s">
        <v>32</v>
      </c>
      <c r="E52" t="s">
        <v>15</v>
      </c>
      <c r="F52" t="s">
        <v>16</v>
      </c>
      <c r="G52">
        <v>290</v>
      </c>
      <c r="H52" t="s">
        <v>33</v>
      </c>
      <c r="I52" s="3">
        <f>34900*1.1</f>
        <v>38390</v>
      </c>
      <c r="J52" t="s">
        <v>18</v>
      </c>
    </row>
    <row r="53" spans="1:10" hidden="1" x14ac:dyDescent="0.2">
      <c r="A53" t="s">
        <v>12</v>
      </c>
      <c r="B53" t="s">
        <v>31</v>
      </c>
      <c r="C53">
        <v>2017</v>
      </c>
      <c r="D53" t="s">
        <v>32</v>
      </c>
      <c r="E53" t="s">
        <v>15</v>
      </c>
      <c r="F53" t="s">
        <v>16</v>
      </c>
      <c r="G53">
        <v>290</v>
      </c>
      <c r="H53" t="s">
        <v>33</v>
      </c>
      <c r="I53" s="3">
        <f t="shared" ref="I53:I54" si="8">34900*1.1</f>
        <v>38390</v>
      </c>
      <c r="J53" t="s">
        <v>18</v>
      </c>
    </row>
    <row r="54" spans="1:10" hidden="1" x14ac:dyDescent="0.2">
      <c r="A54" t="s">
        <v>12</v>
      </c>
      <c r="B54" t="s">
        <v>31</v>
      </c>
      <c r="C54">
        <v>2018</v>
      </c>
      <c r="D54" t="s">
        <v>32</v>
      </c>
      <c r="E54" t="s">
        <v>15</v>
      </c>
      <c r="F54" t="s">
        <v>16</v>
      </c>
      <c r="G54">
        <v>290</v>
      </c>
      <c r="H54" t="s">
        <v>33</v>
      </c>
      <c r="I54" s="3">
        <f t="shared" si="8"/>
        <v>38390</v>
      </c>
      <c r="J54" t="s">
        <v>18</v>
      </c>
    </row>
    <row r="55" spans="1:10" hidden="1" x14ac:dyDescent="0.2">
      <c r="A55" t="s">
        <v>12</v>
      </c>
      <c r="B55" t="s">
        <v>31</v>
      </c>
      <c r="C55">
        <v>2015</v>
      </c>
      <c r="D55" t="s">
        <v>32</v>
      </c>
      <c r="E55" t="s">
        <v>34</v>
      </c>
      <c r="F55" t="s">
        <v>16</v>
      </c>
      <c r="G55">
        <v>335</v>
      </c>
      <c r="H55" t="s">
        <v>35</v>
      </c>
      <c r="I55" s="3">
        <v>52650</v>
      </c>
      <c r="J55" t="s">
        <v>18</v>
      </c>
    </row>
    <row r="56" spans="1:10" hidden="1" x14ac:dyDescent="0.2">
      <c r="A56" t="s">
        <v>12</v>
      </c>
      <c r="B56" t="s">
        <v>31</v>
      </c>
      <c r="C56">
        <v>2016</v>
      </c>
      <c r="D56" t="s">
        <v>32</v>
      </c>
      <c r="E56" t="s">
        <v>34</v>
      </c>
      <c r="F56" t="s">
        <v>16</v>
      </c>
      <c r="G56">
        <v>335</v>
      </c>
      <c r="H56" t="s">
        <v>35</v>
      </c>
      <c r="I56" s="3">
        <f>52650*1.1</f>
        <v>57915.000000000007</v>
      </c>
      <c r="J56" t="s">
        <v>18</v>
      </c>
    </row>
    <row r="57" spans="1:10" hidden="1" x14ac:dyDescent="0.2">
      <c r="A57" t="s">
        <v>12</v>
      </c>
      <c r="B57" t="s">
        <v>31</v>
      </c>
      <c r="C57">
        <v>2017</v>
      </c>
      <c r="D57" t="s">
        <v>32</v>
      </c>
      <c r="E57" t="s">
        <v>34</v>
      </c>
      <c r="F57" t="s">
        <v>16</v>
      </c>
      <c r="G57">
        <v>335</v>
      </c>
      <c r="H57" t="s">
        <v>35</v>
      </c>
      <c r="I57" s="3">
        <f t="shared" ref="I57:I58" si="9">52650*1.1</f>
        <v>57915.000000000007</v>
      </c>
      <c r="J57" t="s">
        <v>18</v>
      </c>
    </row>
    <row r="58" spans="1:10" hidden="1" x14ac:dyDescent="0.2">
      <c r="A58" t="s">
        <v>12</v>
      </c>
      <c r="B58" t="s">
        <v>31</v>
      </c>
      <c r="C58">
        <v>2018</v>
      </c>
      <c r="D58" t="s">
        <v>32</v>
      </c>
      <c r="E58" t="s">
        <v>34</v>
      </c>
      <c r="F58" t="s">
        <v>16</v>
      </c>
      <c r="G58">
        <v>335</v>
      </c>
      <c r="H58" t="s">
        <v>35</v>
      </c>
      <c r="I58" s="3">
        <f t="shared" si="9"/>
        <v>57915.000000000007</v>
      </c>
      <c r="J58" t="s">
        <v>18</v>
      </c>
    </row>
    <row r="59" spans="1:10" hidden="1" x14ac:dyDescent="0.2">
      <c r="A59" t="s">
        <v>12</v>
      </c>
      <c r="B59" t="s">
        <v>31</v>
      </c>
      <c r="C59">
        <v>2015</v>
      </c>
      <c r="D59" t="s">
        <v>32</v>
      </c>
      <c r="E59" t="s">
        <v>34</v>
      </c>
      <c r="F59" t="s">
        <v>16</v>
      </c>
      <c r="G59">
        <v>420</v>
      </c>
      <c r="H59" t="s">
        <v>36</v>
      </c>
      <c r="I59" s="3">
        <v>83650</v>
      </c>
      <c r="J59" t="s">
        <v>18</v>
      </c>
    </row>
    <row r="60" spans="1:10" hidden="1" x14ac:dyDescent="0.2">
      <c r="A60" t="s">
        <v>12</v>
      </c>
      <c r="B60" t="s">
        <v>31</v>
      </c>
      <c r="C60">
        <v>2016</v>
      </c>
      <c r="D60" t="s">
        <v>32</v>
      </c>
      <c r="E60" t="s">
        <v>34</v>
      </c>
      <c r="F60" t="s">
        <v>16</v>
      </c>
      <c r="G60">
        <v>420</v>
      </c>
      <c r="H60" t="s">
        <v>36</v>
      </c>
      <c r="I60" s="3">
        <f>83650*1.1</f>
        <v>92015.000000000015</v>
      </c>
      <c r="J60" t="s">
        <v>18</v>
      </c>
    </row>
    <row r="61" spans="1:10" hidden="1" x14ac:dyDescent="0.2">
      <c r="A61" t="s">
        <v>12</v>
      </c>
      <c r="B61" t="s">
        <v>31</v>
      </c>
      <c r="C61">
        <v>2017</v>
      </c>
      <c r="D61" t="s">
        <v>32</v>
      </c>
      <c r="E61" t="s">
        <v>34</v>
      </c>
      <c r="F61" t="s">
        <v>16</v>
      </c>
      <c r="G61">
        <v>420</v>
      </c>
      <c r="H61" t="s">
        <v>36</v>
      </c>
      <c r="I61" s="3">
        <f t="shared" ref="I61:I62" si="10">83650*1.1</f>
        <v>92015.000000000015</v>
      </c>
      <c r="J61" t="s">
        <v>18</v>
      </c>
    </row>
    <row r="62" spans="1:10" hidden="1" x14ac:dyDescent="0.2">
      <c r="A62" t="s">
        <v>12</v>
      </c>
      <c r="B62" t="s">
        <v>31</v>
      </c>
      <c r="C62">
        <v>2018</v>
      </c>
      <c r="D62" t="s">
        <v>32</v>
      </c>
      <c r="E62" t="s">
        <v>34</v>
      </c>
      <c r="F62" t="s">
        <v>16</v>
      </c>
      <c r="G62">
        <v>420</v>
      </c>
      <c r="H62" t="s">
        <v>36</v>
      </c>
      <c r="I62" s="3">
        <f t="shared" si="10"/>
        <v>92015.000000000015</v>
      </c>
      <c r="J62" t="s">
        <v>18</v>
      </c>
    </row>
    <row r="63" spans="1:10" hidden="1" x14ac:dyDescent="0.2">
      <c r="A63" t="s">
        <v>12</v>
      </c>
      <c r="B63" t="s">
        <v>37</v>
      </c>
      <c r="C63">
        <v>2015</v>
      </c>
      <c r="D63" t="s">
        <v>32</v>
      </c>
      <c r="E63" t="s">
        <v>15</v>
      </c>
      <c r="F63" t="s">
        <v>16</v>
      </c>
      <c r="G63">
        <v>190</v>
      </c>
      <c r="H63" t="s">
        <v>38</v>
      </c>
      <c r="I63" s="3">
        <v>36000</v>
      </c>
      <c r="J63" t="s">
        <v>18</v>
      </c>
    </row>
    <row r="64" spans="1:10" hidden="1" x14ac:dyDescent="0.2">
      <c r="A64" t="s">
        <v>12</v>
      </c>
      <c r="B64" t="s">
        <v>37</v>
      </c>
      <c r="C64">
        <v>2016</v>
      </c>
      <c r="D64" t="s">
        <v>32</v>
      </c>
      <c r="E64" t="s">
        <v>15</v>
      </c>
      <c r="F64" t="s">
        <v>16</v>
      </c>
      <c r="G64">
        <v>190</v>
      </c>
      <c r="H64" t="s">
        <v>38</v>
      </c>
      <c r="I64" s="3">
        <f>I63*1.1</f>
        <v>39600</v>
      </c>
      <c r="J64" t="s">
        <v>18</v>
      </c>
    </row>
    <row r="65" spans="1:10" hidden="1" x14ac:dyDescent="0.2">
      <c r="A65" t="s">
        <v>12</v>
      </c>
      <c r="B65" t="s">
        <v>37</v>
      </c>
      <c r="C65">
        <v>2017</v>
      </c>
      <c r="D65" t="s">
        <v>32</v>
      </c>
      <c r="E65" t="s">
        <v>15</v>
      </c>
      <c r="F65" t="s">
        <v>16</v>
      </c>
      <c r="G65">
        <v>190</v>
      </c>
      <c r="H65" t="s">
        <v>38</v>
      </c>
      <c r="I65" s="3">
        <f t="shared" ref="I65:I66" si="11">I64*1.1</f>
        <v>43560</v>
      </c>
      <c r="J65" t="s">
        <v>18</v>
      </c>
    </row>
    <row r="66" spans="1:10" hidden="1" x14ac:dyDescent="0.2">
      <c r="A66" t="s">
        <v>12</v>
      </c>
      <c r="B66" t="s">
        <v>37</v>
      </c>
      <c r="C66">
        <v>2018</v>
      </c>
      <c r="D66" t="s">
        <v>32</v>
      </c>
      <c r="E66" t="s">
        <v>15</v>
      </c>
      <c r="F66" t="s">
        <v>16</v>
      </c>
      <c r="G66">
        <v>190</v>
      </c>
      <c r="H66" t="s">
        <v>38</v>
      </c>
      <c r="I66" s="3">
        <f t="shared" si="11"/>
        <v>47916.000000000007</v>
      </c>
      <c r="J66" t="s">
        <v>18</v>
      </c>
    </row>
    <row r="67" spans="1:10" hidden="1" x14ac:dyDescent="0.2">
      <c r="A67" t="s">
        <v>19</v>
      </c>
      <c r="B67" t="s">
        <v>37</v>
      </c>
      <c r="C67">
        <v>2015</v>
      </c>
      <c r="D67" t="s">
        <v>32</v>
      </c>
      <c r="E67" t="s">
        <v>15</v>
      </c>
      <c r="F67" t="s">
        <v>16</v>
      </c>
      <c r="G67">
        <v>252</v>
      </c>
      <c r="H67" t="s">
        <v>35</v>
      </c>
      <c r="I67" s="3">
        <v>42600</v>
      </c>
      <c r="J67" t="s">
        <v>18</v>
      </c>
    </row>
    <row r="68" spans="1:10" hidden="1" x14ac:dyDescent="0.2">
      <c r="A68" t="s">
        <v>19</v>
      </c>
      <c r="B68" t="s">
        <v>37</v>
      </c>
      <c r="C68">
        <v>2016</v>
      </c>
      <c r="D68" t="s">
        <v>32</v>
      </c>
      <c r="E68" t="s">
        <v>15</v>
      </c>
      <c r="F68" t="s">
        <v>16</v>
      </c>
      <c r="G68">
        <v>252</v>
      </c>
      <c r="H68" t="s">
        <v>35</v>
      </c>
      <c r="I68" s="3">
        <f>42600*1.1</f>
        <v>46860.000000000007</v>
      </c>
      <c r="J68" t="s">
        <v>18</v>
      </c>
    </row>
    <row r="69" spans="1:10" hidden="1" x14ac:dyDescent="0.2">
      <c r="A69" t="s">
        <v>19</v>
      </c>
      <c r="B69" t="s">
        <v>37</v>
      </c>
      <c r="C69">
        <v>2017</v>
      </c>
      <c r="D69" t="s">
        <v>32</v>
      </c>
      <c r="E69" t="s">
        <v>15</v>
      </c>
      <c r="F69" t="s">
        <v>16</v>
      </c>
      <c r="G69">
        <v>252</v>
      </c>
      <c r="H69" t="s">
        <v>35</v>
      </c>
      <c r="I69" s="3">
        <f t="shared" ref="I69:I70" si="12">42600*1.1</f>
        <v>46860.000000000007</v>
      </c>
      <c r="J69" t="s">
        <v>18</v>
      </c>
    </row>
    <row r="70" spans="1:10" hidden="1" x14ac:dyDescent="0.2">
      <c r="A70" t="s">
        <v>19</v>
      </c>
      <c r="B70" t="s">
        <v>37</v>
      </c>
      <c r="C70">
        <v>2018</v>
      </c>
      <c r="D70" t="s">
        <v>32</v>
      </c>
      <c r="E70" t="s">
        <v>15</v>
      </c>
      <c r="F70" t="s">
        <v>16</v>
      </c>
      <c r="G70">
        <v>252</v>
      </c>
      <c r="H70" t="s">
        <v>35</v>
      </c>
      <c r="I70" s="3">
        <f t="shared" si="12"/>
        <v>46860.000000000007</v>
      </c>
      <c r="J70" t="s">
        <v>18</v>
      </c>
    </row>
    <row r="71" spans="1:10" hidden="1" x14ac:dyDescent="0.2">
      <c r="A71" t="s">
        <v>21</v>
      </c>
      <c r="B71" t="s">
        <v>37</v>
      </c>
      <c r="C71">
        <v>2015</v>
      </c>
      <c r="D71" t="s">
        <v>32</v>
      </c>
      <c r="E71" t="s">
        <v>15</v>
      </c>
      <c r="F71" t="s">
        <v>16</v>
      </c>
      <c r="G71">
        <v>252</v>
      </c>
      <c r="H71" t="s">
        <v>39</v>
      </c>
      <c r="I71" s="3">
        <v>41500</v>
      </c>
      <c r="J71" t="s">
        <v>18</v>
      </c>
    </row>
    <row r="72" spans="1:10" hidden="1" x14ac:dyDescent="0.2">
      <c r="A72" t="s">
        <v>21</v>
      </c>
      <c r="B72" t="s">
        <v>37</v>
      </c>
      <c r="C72">
        <v>2016</v>
      </c>
      <c r="D72" t="s">
        <v>32</v>
      </c>
      <c r="E72" t="s">
        <v>15</v>
      </c>
      <c r="F72" t="s">
        <v>16</v>
      </c>
      <c r="G72">
        <v>252</v>
      </c>
      <c r="H72" t="s">
        <v>39</v>
      </c>
      <c r="I72" s="3">
        <f>41500*1.1</f>
        <v>45650.000000000007</v>
      </c>
      <c r="J72" t="s">
        <v>18</v>
      </c>
    </row>
    <row r="73" spans="1:10" hidden="1" x14ac:dyDescent="0.2">
      <c r="A73" t="s">
        <v>21</v>
      </c>
      <c r="B73" t="s">
        <v>37</v>
      </c>
      <c r="C73">
        <v>2017</v>
      </c>
      <c r="D73" t="s">
        <v>32</v>
      </c>
      <c r="E73" t="s">
        <v>15</v>
      </c>
      <c r="F73" t="s">
        <v>16</v>
      </c>
      <c r="G73">
        <v>252</v>
      </c>
      <c r="H73" t="s">
        <v>39</v>
      </c>
      <c r="I73" s="3">
        <f t="shared" ref="I73:I74" si="13">41500*1.1</f>
        <v>45650.000000000007</v>
      </c>
      <c r="J73" t="s">
        <v>18</v>
      </c>
    </row>
    <row r="74" spans="1:10" hidden="1" x14ac:dyDescent="0.2">
      <c r="A74" t="s">
        <v>21</v>
      </c>
      <c r="B74" t="s">
        <v>37</v>
      </c>
      <c r="C74">
        <v>2018</v>
      </c>
      <c r="D74" t="s">
        <v>32</v>
      </c>
      <c r="E74" t="s">
        <v>15</v>
      </c>
      <c r="F74" t="s">
        <v>16</v>
      </c>
      <c r="G74">
        <v>252</v>
      </c>
      <c r="H74" t="s">
        <v>39</v>
      </c>
      <c r="I74" s="3">
        <f t="shared" si="13"/>
        <v>45650.000000000007</v>
      </c>
      <c r="J74" t="s">
        <v>18</v>
      </c>
    </row>
    <row r="75" spans="1:10" hidden="1" x14ac:dyDescent="0.2">
      <c r="A75" t="s">
        <v>21</v>
      </c>
      <c r="B75" t="s">
        <v>37</v>
      </c>
      <c r="C75">
        <v>2015</v>
      </c>
      <c r="D75" t="s">
        <v>24</v>
      </c>
      <c r="E75" t="s">
        <v>15</v>
      </c>
      <c r="F75" t="s">
        <v>16</v>
      </c>
      <c r="G75">
        <v>200</v>
      </c>
      <c r="H75" t="s">
        <v>40</v>
      </c>
      <c r="I75" s="3">
        <v>30000</v>
      </c>
      <c r="J75" t="s">
        <v>18</v>
      </c>
    </row>
    <row r="76" spans="1:10" hidden="1" x14ac:dyDescent="0.2">
      <c r="A76" t="s">
        <v>21</v>
      </c>
      <c r="B76" t="s">
        <v>37</v>
      </c>
      <c r="C76">
        <v>2016</v>
      </c>
      <c r="D76" t="s">
        <v>24</v>
      </c>
      <c r="E76" t="s">
        <v>15</v>
      </c>
      <c r="F76" t="s">
        <v>16</v>
      </c>
      <c r="G76">
        <v>200</v>
      </c>
      <c r="H76" t="s">
        <v>40</v>
      </c>
      <c r="I76" s="3">
        <f>I75*1.1</f>
        <v>33000</v>
      </c>
      <c r="J76" t="s">
        <v>18</v>
      </c>
    </row>
    <row r="77" spans="1:10" hidden="1" x14ac:dyDescent="0.2">
      <c r="A77" t="s">
        <v>21</v>
      </c>
      <c r="B77" t="s">
        <v>37</v>
      </c>
      <c r="C77">
        <v>2017</v>
      </c>
      <c r="D77" t="s">
        <v>24</v>
      </c>
      <c r="E77" t="s">
        <v>15</v>
      </c>
      <c r="F77" t="s">
        <v>16</v>
      </c>
      <c r="G77">
        <v>200</v>
      </c>
      <c r="H77" t="s">
        <v>40</v>
      </c>
      <c r="I77" s="3">
        <f t="shared" ref="I77:I78" si="14">I76*1.1</f>
        <v>36300</v>
      </c>
      <c r="J77" t="s">
        <v>18</v>
      </c>
    </row>
    <row r="78" spans="1:10" hidden="1" x14ac:dyDescent="0.2">
      <c r="A78" t="s">
        <v>21</v>
      </c>
      <c r="B78" t="s">
        <v>37</v>
      </c>
      <c r="C78">
        <v>2018</v>
      </c>
      <c r="D78" t="s">
        <v>24</v>
      </c>
      <c r="E78" t="s">
        <v>15</v>
      </c>
      <c r="F78" t="s">
        <v>16</v>
      </c>
      <c r="G78">
        <v>200</v>
      </c>
      <c r="H78" t="s">
        <v>40</v>
      </c>
      <c r="I78" s="3">
        <f t="shared" si="14"/>
        <v>39930</v>
      </c>
      <c r="J78" t="s">
        <v>18</v>
      </c>
    </row>
    <row r="79" spans="1:10" hidden="1" x14ac:dyDescent="0.2">
      <c r="A79" t="s">
        <v>12</v>
      </c>
      <c r="B79" t="s">
        <v>41</v>
      </c>
      <c r="C79">
        <v>2015</v>
      </c>
      <c r="D79" t="s">
        <v>14</v>
      </c>
      <c r="E79" t="s">
        <v>15</v>
      </c>
      <c r="F79" t="s">
        <v>16</v>
      </c>
      <c r="G79">
        <v>240</v>
      </c>
      <c r="H79" t="s">
        <v>30</v>
      </c>
      <c r="I79" s="3">
        <v>22050</v>
      </c>
      <c r="J79" t="s">
        <v>18</v>
      </c>
    </row>
    <row r="80" spans="1:10" hidden="1" x14ac:dyDescent="0.2">
      <c r="A80" t="s">
        <v>12</v>
      </c>
      <c r="B80" t="s">
        <v>41</v>
      </c>
      <c r="C80">
        <v>2016</v>
      </c>
      <c r="D80" t="s">
        <v>14</v>
      </c>
      <c r="E80" t="s">
        <v>15</v>
      </c>
      <c r="F80" t="s">
        <v>16</v>
      </c>
      <c r="G80">
        <v>240</v>
      </c>
      <c r="H80" t="s">
        <v>30</v>
      </c>
      <c r="I80" s="3">
        <f>I79*1.1</f>
        <v>24255.000000000004</v>
      </c>
      <c r="J80" t="s">
        <v>18</v>
      </c>
    </row>
    <row r="81" spans="1:10" hidden="1" x14ac:dyDescent="0.2">
      <c r="A81" t="s">
        <v>12</v>
      </c>
      <c r="B81" t="s">
        <v>41</v>
      </c>
      <c r="C81">
        <v>2017</v>
      </c>
      <c r="D81" t="s">
        <v>14</v>
      </c>
      <c r="E81" t="s">
        <v>15</v>
      </c>
      <c r="F81" t="s">
        <v>16</v>
      </c>
      <c r="G81">
        <v>240</v>
      </c>
      <c r="H81" t="s">
        <v>30</v>
      </c>
      <c r="I81" s="3">
        <f t="shared" ref="I81:I82" si="15">I80*1.1</f>
        <v>26680.500000000007</v>
      </c>
      <c r="J81" t="s">
        <v>18</v>
      </c>
    </row>
    <row r="82" spans="1:10" hidden="1" x14ac:dyDescent="0.2">
      <c r="A82" t="s">
        <v>12</v>
      </c>
      <c r="B82" t="s">
        <v>41</v>
      </c>
      <c r="C82">
        <v>2018</v>
      </c>
      <c r="D82" t="s">
        <v>14</v>
      </c>
      <c r="E82" t="s">
        <v>15</v>
      </c>
      <c r="F82" t="s">
        <v>16</v>
      </c>
      <c r="G82">
        <v>240</v>
      </c>
      <c r="H82" t="s">
        <v>30</v>
      </c>
      <c r="I82" s="3">
        <f t="shared" si="15"/>
        <v>29348.55000000001</v>
      </c>
      <c r="J82" t="s">
        <v>18</v>
      </c>
    </row>
    <row r="83" spans="1:10" hidden="1" x14ac:dyDescent="0.2">
      <c r="A83" t="s">
        <v>19</v>
      </c>
      <c r="B83" t="s">
        <v>41</v>
      </c>
      <c r="C83">
        <v>2015</v>
      </c>
      <c r="D83" t="s">
        <v>14</v>
      </c>
      <c r="E83" t="s">
        <v>15</v>
      </c>
      <c r="F83" t="s">
        <v>16</v>
      </c>
      <c r="G83">
        <v>320</v>
      </c>
      <c r="H83" t="s">
        <v>42</v>
      </c>
      <c r="I83" s="3">
        <v>23000</v>
      </c>
      <c r="J83" t="s">
        <v>18</v>
      </c>
    </row>
    <row r="84" spans="1:10" hidden="1" x14ac:dyDescent="0.2">
      <c r="A84" t="s">
        <v>19</v>
      </c>
      <c r="B84" t="s">
        <v>41</v>
      </c>
      <c r="C84">
        <v>2016</v>
      </c>
      <c r="D84" t="s">
        <v>14</v>
      </c>
      <c r="E84" t="s">
        <v>15</v>
      </c>
      <c r="F84" t="s">
        <v>16</v>
      </c>
      <c r="G84">
        <v>320</v>
      </c>
      <c r="H84" t="s">
        <v>42</v>
      </c>
      <c r="I84" s="3">
        <f>I83*1.1</f>
        <v>25300.000000000004</v>
      </c>
      <c r="J84" t="s">
        <v>18</v>
      </c>
    </row>
    <row r="85" spans="1:10" hidden="1" x14ac:dyDescent="0.2">
      <c r="A85" t="s">
        <v>19</v>
      </c>
      <c r="B85" t="s">
        <v>41</v>
      </c>
      <c r="C85">
        <v>2017</v>
      </c>
      <c r="D85" t="s">
        <v>14</v>
      </c>
      <c r="E85" t="s">
        <v>15</v>
      </c>
      <c r="F85" t="s">
        <v>16</v>
      </c>
      <c r="G85">
        <v>320</v>
      </c>
      <c r="H85" t="s">
        <v>42</v>
      </c>
      <c r="I85" s="3">
        <f t="shared" ref="I85:I86" si="16">I84*1.1</f>
        <v>27830.000000000007</v>
      </c>
      <c r="J85" t="s">
        <v>18</v>
      </c>
    </row>
    <row r="86" spans="1:10" hidden="1" x14ac:dyDescent="0.2">
      <c r="A86" t="s">
        <v>19</v>
      </c>
      <c r="B86" t="s">
        <v>41</v>
      </c>
      <c r="C86">
        <v>2018</v>
      </c>
      <c r="D86" t="s">
        <v>14</v>
      </c>
      <c r="E86" t="s">
        <v>15</v>
      </c>
      <c r="F86" t="s">
        <v>16</v>
      </c>
      <c r="G86">
        <v>320</v>
      </c>
      <c r="H86" t="s">
        <v>42</v>
      </c>
      <c r="I86" s="3">
        <f t="shared" si="16"/>
        <v>30613.000000000011</v>
      </c>
      <c r="J86" t="s">
        <v>18</v>
      </c>
    </row>
    <row r="87" spans="1:10" hidden="1" x14ac:dyDescent="0.2">
      <c r="A87" t="s">
        <v>21</v>
      </c>
      <c r="B87" t="s">
        <v>41</v>
      </c>
      <c r="C87">
        <v>2015</v>
      </c>
      <c r="D87" t="s">
        <v>14</v>
      </c>
      <c r="E87" t="s">
        <v>15</v>
      </c>
      <c r="F87" t="s">
        <v>16</v>
      </c>
      <c r="G87">
        <v>260</v>
      </c>
      <c r="H87" t="s">
        <v>43</v>
      </c>
      <c r="I87" s="3">
        <v>26000</v>
      </c>
      <c r="J87" t="s">
        <v>18</v>
      </c>
    </row>
    <row r="88" spans="1:10" hidden="1" x14ac:dyDescent="0.2">
      <c r="A88" t="s">
        <v>21</v>
      </c>
      <c r="B88" t="s">
        <v>41</v>
      </c>
      <c r="C88">
        <v>2016</v>
      </c>
      <c r="D88" t="s">
        <v>14</v>
      </c>
      <c r="E88" t="s">
        <v>15</v>
      </c>
      <c r="F88" t="s">
        <v>16</v>
      </c>
      <c r="G88">
        <v>260</v>
      </c>
      <c r="H88" t="s">
        <v>43</v>
      </c>
      <c r="I88" s="3">
        <f>I87*1.1</f>
        <v>28600.000000000004</v>
      </c>
      <c r="J88" t="s">
        <v>18</v>
      </c>
    </row>
    <row r="89" spans="1:10" hidden="1" x14ac:dyDescent="0.2">
      <c r="A89" t="s">
        <v>21</v>
      </c>
      <c r="B89" t="s">
        <v>41</v>
      </c>
      <c r="C89">
        <v>2017</v>
      </c>
      <c r="D89" t="s">
        <v>14</v>
      </c>
      <c r="E89" t="s">
        <v>15</v>
      </c>
      <c r="F89" t="s">
        <v>16</v>
      </c>
      <c r="G89">
        <v>260</v>
      </c>
      <c r="H89" t="s">
        <v>43</v>
      </c>
      <c r="I89" s="3">
        <f t="shared" ref="I89:I90" si="17">I88*1.1</f>
        <v>31460.000000000007</v>
      </c>
      <c r="J89" t="s">
        <v>18</v>
      </c>
    </row>
    <row r="90" spans="1:10" hidden="1" x14ac:dyDescent="0.2">
      <c r="A90" t="s">
        <v>21</v>
      </c>
      <c r="B90" t="s">
        <v>41</v>
      </c>
      <c r="C90">
        <v>2018</v>
      </c>
      <c r="D90" t="s">
        <v>14</v>
      </c>
      <c r="E90" t="s">
        <v>15</v>
      </c>
      <c r="F90" t="s">
        <v>16</v>
      </c>
      <c r="G90">
        <v>260</v>
      </c>
      <c r="H90" t="s">
        <v>43</v>
      </c>
      <c r="I90" s="3">
        <f t="shared" si="17"/>
        <v>34606.000000000007</v>
      </c>
      <c r="J90" t="s">
        <v>18</v>
      </c>
    </row>
    <row r="91" spans="1:10" hidden="1" x14ac:dyDescent="0.2">
      <c r="A91" t="s">
        <v>23</v>
      </c>
      <c r="B91" t="s">
        <v>41</v>
      </c>
      <c r="C91">
        <v>2015</v>
      </c>
      <c r="D91" t="s">
        <v>24</v>
      </c>
      <c r="E91" t="s">
        <v>15</v>
      </c>
      <c r="F91" t="s">
        <v>16</v>
      </c>
      <c r="G91">
        <v>130</v>
      </c>
      <c r="H91" t="s">
        <v>44</v>
      </c>
      <c r="I91" s="3">
        <v>14995</v>
      </c>
      <c r="J91" t="s">
        <v>18</v>
      </c>
    </row>
    <row r="92" spans="1:10" hidden="1" x14ac:dyDescent="0.2">
      <c r="A92" t="s">
        <v>23</v>
      </c>
      <c r="B92" t="s">
        <v>41</v>
      </c>
      <c r="C92">
        <v>2016</v>
      </c>
      <c r="D92" t="s">
        <v>24</v>
      </c>
      <c r="E92" t="s">
        <v>15</v>
      </c>
      <c r="F92" t="s">
        <v>16</v>
      </c>
      <c r="G92">
        <v>130</v>
      </c>
      <c r="H92" t="s">
        <v>44</v>
      </c>
      <c r="I92" s="3">
        <f>I91*1.1</f>
        <v>16494.5</v>
      </c>
      <c r="J92" t="s">
        <v>18</v>
      </c>
    </row>
    <row r="93" spans="1:10" hidden="1" x14ac:dyDescent="0.2">
      <c r="A93" t="s">
        <v>23</v>
      </c>
      <c r="B93" t="s">
        <v>41</v>
      </c>
      <c r="C93">
        <v>2017</v>
      </c>
      <c r="D93" t="s">
        <v>24</v>
      </c>
      <c r="E93" t="s">
        <v>15</v>
      </c>
      <c r="F93" t="s">
        <v>16</v>
      </c>
      <c r="G93">
        <v>130</v>
      </c>
      <c r="H93" t="s">
        <v>44</v>
      </c>
      <c r="I93" s="3">
        <f t="shared" ref="I93:I94" si="18">I92*1.1</f>
        <v>18143.95</v>
      </c>
      <c r="J93" t="s">
        <v>18</v>
      </c>
    </row>
    <row r="94" spans="1:10" hidden="1" x14ac:dyDescent="0.2">
      <c r="A94" t="s">
        <v>23</v>
      </c>
      <c r="B94" t="s">
        <v>41</v>
      </c>
      <c r="C94">
        <v>2018</v>
      </c>
      <c r="D94" t="s">
        <v>24</v>
      </c>
      <c r="E94" t="s">
        <v>15</v>
      </c>
      <c r="F94" t="s">
        <v>16</v>
      </c>
      <c r="G94">
        <v>130</v>
      </c>
      <c r="H94" t="s">
        <v>44</v>
      </c>
      <c r="I94" s="3">
        <f t="shared" si="18"/>
        <v>19958.345000000001</v>
      </c>
      <c r="J94" t="s">
        <v>18</v>
      </c>
    </row>
    <row r="95" spans="1:10" hidden="1" x14ac:dyDescent="0.2">
      <c r="A95" t="s">
        <v>12</v>
      </c>
      <c r="B95" t="s">
        <v>45</v>
      </c>
      <c r="C95">
        <v>2015</v>
      </c>
      <c r="D95" t="s">
        <v>32</v>
      </c>
      <c r="E95" t="s">
        <v>15</v>
      </c>
      <c r="F95" t="s">
        <v>16</v>
      </c>
      <c r="G95">
        <v>275</v>
      </c>
      <c r="H95" t="s">
        <v>46</v>
      </c>
      <c r="I95" s="3">
        <v>38210</v>
      </c>
      <c r="J95" t="s">
        <v>18</v>
      </c>
    </row>
    <row r="96" spans="1:10" hidden="1" x14ac:dyDescent="0.2">
      <c r="A96" t="s">
        <v>12</v>
      </c>
      <c r="B96" t="s">
        <v>45</v>
      </c>
      <c r="C96">
        <v>2016</v>
      </c>
      <c r="D96" t="s">
        <v>32</v>
      </c>
      <c r="E96" t="s">
        <v>15</v>
      </c>
      <c r="F96" t="s">
        <v>16</v>
      </c>
      <c r="G96">
        <v>275</v>
      </c>
      <c r="H96" t="s">
        <v>46</v>
      </c>
      <c r="I96" s="3">
        <f>I95*1.1</f>
        <v>42031</v>
      </c>
      <c r="J96" t="s">
        <v>18</v>
      </c>
    </row>
    <row r="97" spans="1:10" hidden="1" x14ac:dyDescent="0.2">
      <c r="A97" t="s">
        <v>12</v>
      </c>
      <c r="B97" t="s">
        <v>45</v>
      </c>
      <c r="C97">
        <v>2017</v>
      </c>
      <c r="D97" t="s">
        <v>32</v>
      </c>
      <c r="E97" t="s">
        <v>15</v>
      </c>
      <c r="F97" t="s">
        <v>16</v>
      </c>
      <c r="G97">
        <v>275</v>
      </c>
      <c r="H97" t="s">
        <v>46</v>
      </c>
      <c r="I97" s="3">
        <f t="shared" ref="I97:I98" si="19">I96*1.1</f>
        <v>46234.100000000006</v>
      </c>
      <c r="J97" t="s">
        <v>18</v>
      </c>
    </row>
    <row r="98" spans="1:10" hidden="1" x14ac:dyDescent="0.2">
      <c r="A98" t="s">
        <v>12</v>
      </c>
      <c r="B98" t="s">
        <v>45</v>
      </c>
      <c r="C98">
        <v>2018</v>
      </c>
      <c r="D98" t="s">
        <v>32</v>
      </c>
      <c r="E98" t="s">
        <v>15</v>
      </c>
      <c r="F98" t="s">
        <v>16</v>
      </c>
      <c r="G98">
        <v>275</v>
      </c>
      <c r="H98" t="s">
        <v>46</v>
      </c>
      <c r="I98" s="3">
        <f t="shared" si="19"/>
        <v>50857.510000000009</v>
      </c>
      <c r="J98" t="s">
        <v>18</v>
      </c>
    </row>
    <row r="99" spans="1:10" hidden="1" x14ac:dyDescent="0.2">
      <c r="A99" t="s">
        <v>19</v>
      </c>
      <c r="B99" t="s">
        <v>45</v>
      </c>
      <c r="C99">
        <v>2015</v>
      </c>
      <c r="D99" t="s">
        <v>32</v>
      </c>
      <c r="E99" t="s">
        <v>15</v>
      </c>
      <c r="F99" t="s">
        <v>16</v>
      </c>
      <c r="G99">
        <v>350</v>
      </c>
      <c r="H99" t="s">
        <v>46</v>
      </c>
      <c r="I99" s="3">
        <v>40640</v>
      </c>
      <c r="J99" t="s">
        <v>18</v>
      </c>
    </row>
    <row r="100" spans="1:10" hidden="1" x14ac:dyDescent="0.2">
      <c r="A100" t="s">
        <v>19</v>
      </c>
      <c r="B100" t="s">
        <v>45</v>
      </c>
      <c r="C100">
        <v>2016</v>
      </c>
      <c r="D100" t="s">
        <v>32</v>
      </c>
      <c r="E100" t="s">
        <v>15</v>
      </c>
      <c r="F100" t="s">
        <v>16</v>
      </c>
      <c r="G100">
        <v>350</v>
      </c>
      <c r="H100" t="s">
        <v>46</v>
      </c>
      <c r="I100" s="3">
        <f>I99*1.06</f>
        <v>43078.400000000001</v>
      </c>
      <c r="J100" t="s">
        <v>18</v>
      </c>
    </row>
    <row r="101" spans="1:10" hidden="1" x14ac:dyDescent="0.2">
      <c r="A101" t="s">
        <v>19</v>
      </c>
      <c r="B101" t="s">
        <v>45</v>
      </c>
      <c r="C101">
        <v>2017</v>
      </c>
      <c r="D101" t="s">
        <v>32</v>
      </c>
      <c r="E101" t="s">
        <v>15</v>
      </c>
      <c r="F101" t="s">
        <v>16</v>
      </c>
      <c r="G101">
        <v>350</v>
      </c>
      <c r="H101" t="s">
        <v>46</v>
      </c>
      <c r="I101" s="3">
        <f t="shared" ref="I101:I102" si="20">I100*1.06</f>
        <v>45663.104000000007</v>
      </c>
      <c r="J101" t="s">
        <v>18</v>
      </c>
    </row>
    <row r="102" spans="1:10" hidden="1" x14ac:dyDescent="0.2">
      <c r="A102" t="s">
        <v>19</v>
      </c>
      <c r="B102" t="s">
        <v>45</v>
      </c>
      <c r="C102">
        <v>2018</v>
      </c>
      <c r="D102" t="s">
        <v>32</v>
      </c>
      <c r="E102" t="s">
        <v>15</v>
      </c>
      <c r="F102" t="s">
        <v>16</v>
      </c>
      <c r="G102">
        <v>350</v>
      </c>
      <c r="H102" t="s">
        <v>46</v>
      </c>
      <c r="I102" s="3">
        <f t="shared" si="20"/>
        <v>48402.890240000008</v>
      </c>
      <c r="J102" t="s">
        <v>18</v>
      </c>
    </row>
    <row r="103" spans="1:10" hidden="1" x14ac:dyDescent="0.2">
      <c r="A103" t="s">
        <v>21</v>
      </c>
      <c r="B103" t="s">
        <v>45</v>
      </c>
      <c r="C103">
        <v>2015</v>
      </c>
      <c r="D103" t="s">
        <v>32</v>
      </c>
      <c r="E103" t="s">
        <v>15</v>
      </c>
      <c r="F103" t="s">
        <v>16</v>
      </c>
      <c r="G103">
        <v>295</v>
      </c>
      <c r="H103" t="s">
        <v>47</v>
      </c>
      <c r="I103" s="3">
        <v>43270</v>
      </c>
      <c r="J103" t="s">
        <v>18</v>
      </c>
    </row>
    <row r="104" spans="1:10" hidden="1" x14ac:dyDescent="0.2">
      <c r="A104" t="s">
        <v>21</v>
      </c>
      <c r="B104" t="s">
        <v>45</v>
      </c>
      <c r="C104">
        <v>2016</v>
      </c>
      <c r="D104" t="s">
        <v>32</v>
      </c>
      <c r="E104" t="s">
        <v>15</v>
      </c>
      <c r="F104" t="s">
        <v>16</v>
      </c>
      <c r="G104">
        <v>295</v>
      </c>
      <c r="H104" t="s">
        <v>47</v>
      </c>
      <c r="I104" s="3">
        <f>I103*1.06</f>
        <v>45866.200000000004</v>
      </c>
      <c r="J104" t="s">
        <v>18</v>
      </c>
    </row>
    <row r="105" spans="1:10" hidden="1" x14ac:dyDescent="0.2">
      <c r="A105" t="s">
        <v>21</v>
      </c>
      <c r="B105" t="s">
        <v>45</v>
      </c>
      <c r="C105">
        <v>2017</v>
      </c>
      <c r="D105" t="s">
        <v>32</v>
      </c>
      <c r="E105" t="s">
        <v>15</v>
      </c>
      <c r="F105" t="s">
        <v>16</v>
      </c>
      <c r="G105">
        <v>295</v>
      </c>
      <c r="H105" t="s">
        <v>47</v>
      </c>
      <c r="I105" s="3">
        <f t="shared" ref="I105:I106" si="21">I104*1.06</f>
        <v>48618.172000000006</v>
      </c>
      <c r="J105" t="s">
        <v>18</v>
      </c>
    </row>
    <row r="106" spans="1:10" hidden="1" x14ac:dyDescent="0.2">
      <c r="A106" t="s">
        <v>21</v>
      </c>
      <c r="B106" t="s">
        <v>45</v>
      </c>
      <c r="C106">
        <v>2018</v>
      </c>
      <c r="D106" t="s">
        <v>32</v>
      </c>
      <c r="E106" t="s">
        <v>15</v>
      </c>
      <c r="F106" t="s">
        <v>16</v>
      </c>
      <c r="G106">
        <v>295</v>
      </c>
      <c r="H106" t="s">
        <v>47</v>
      </c>
      <c r="I106" s="3">
        <f t="shared" si="21"/>
        <v>51535.262320000009</v>
      </c>
      <c r="J106" t="s">
        <v>18</v>
      </c>
    </row>
    <row r="107" spans="1:10" hidden="1" x14ac:dyDescent="0.2">
      <c r="A107" t="s">
        <v>23</v>
      </c>
      <c r="B107" t="s">
        <v>45</v>
      </c>
      <c r="C107">
        <v>2015</v>
      </c>
      <c r="D107" t="s">
        <v>24</v>
      </c>
      <c r="E107" t="s">
        <v>15</v>
      </c>
      <c r="F107" t="s">
        <v>16</v>
      </c>
      <c r="G107">
        <v>134</v>
      </c>
      <c r="H107" t="s">
        <v>48</v>
      </c>
      <c r="I107" s="3">
        <v>31250</v>
      </c>
      <c r="J107" t="s">
        <v>18</v>
      </c>
    </row>
    <row r="108" spans="1:10" hidden="1" x14ac:dyDescent="0.2">
      <c r="A108" t="s">
        <v>23</v>
      </c>
      <c r="B108" t="s">
        <v>45</v>
      </c>
      <c r="C108">
        <v>2016</v>
      </c>
      <c r="D108" t="s">
        <v>24</v>
      </c>
      <c r="E108" t="s">
        <v>15</v>
      </c>
      <c r="F108" t="s">
        <v>16</v>
      </c>
      <c r="G108">
        <v>134</v>
      </c>
      <c r="H108" t="s">
        <v>48</v>
      </c>
      <c r="I108" s="3">
        <f>I107*1.05</f>
        <v>32812.5</v>
      </c>
      <c r="J108" t="s">
        <v>18</v>
      </c>
    </row>
    <row r="109" spans="1:10" hidden="1" x14ac:dyDescent="0.2">
      <c r="A109" t="s">
        <v>23</v>
      </c>
      <c r="B109" t="s">
        <v>45</v>
      </c>
      <c r="C109">
        <v>2017</v>
      </c>
      <c r="D109" t="s">
        <v>24</v>
      </c>
      <c r="E109" t="s">
        <v>15</v>
      </c>
      <c r="F109" t="s">
        <v>16</v>
      </c>
      <c r="G109">
        <v>134</v>
      </c>
      <c r="H109" t="s">
        <v>48</v>
      </c>
      <c r="I109" s="3">
        <f t="shared" ref="I109:I110" si="22">I108*1.05</f>
        <v>34453.125</v>
      </c>
      <c r="J109" t="s">
        <v>18</v>
      </c>
    </row>
    <row r="110" spans="1:10" hidden="1" x14ac:dyDescent="0.2">
      <c r="A110" t="s">
        <v>23</v>
      </c>
      <c r="B110" t="s">
        <v>45</v>
      </c>
      <c r="C110">
        <v>2018</v>
      </c>
      <c r="D110" t="s">
        <v>24</v>
      </c>
      <c r="E110" t="s">
        <v>15</v>
      </c>
      <c r="F110" t="s">
        <v>16</v>
      </c>
      <c r="G110">
        <v>134</v>
      </c>
      <c r="H110" t="s">
        <v>48</v>
      </c>
      <c r="I110" s="3">
        <f t="shared" si="22"/>
        <v>36175.78125</v>
      </c>
      <c r="J110" t="s">
        <v>18</v>
      </c>
    </row>
    <row r="111" spans="1:10" hidden="1" x14ac:dyDescent="0.2">
      <c r="A111" t="s">
        <v>12</v>
      </c>
      <c r="B111" t="s">
        <v>13</v>
      </c>
      <c r="C111">
        <v>2015</v>
      </c>
      <c r="D111" t="s">
        <v>14</v>
      </c>
      <c r="E111" t="s">
        <v>15</v>
      </c>
      <c r="F111" t="s">
        <v>16</v>
      </c>
      <c r="G111">
        <v>177</v>
      </c>
      <c r="H111" t="s">
        <v>17</v>
      </c>
      <c r="I111" s="3">
        <v>17950</v>
      </c>
      <c r="J111" t="s">
        <v>49</v>
      </c>
    </row>
    <row r="112" spans="1:10" hidden="1" x14ac:dyDescent="0.2">
      <c r="A112" t="s">
        <v>12</v>
      </c>
      <c r="B112" t="s">
        <v>13</v>
      </c>
      <c r="C112">
        <v>2016</v>
      </c>
      <c r="D112" t="s">
        <v>14</v>
      </c>
      <c r="E112" t="s">
        <v>15</v>
      </c>
      <c r="F112" t="s">
        <v>16</v>
      </c>
      <c r="G112">
        <v>177</v>
      </c>
      <c r="H112" t="s">
        <v>17</v>
      </c>
      <c r="I112" s="3">
        <f>I111*1.1</f>
        <v>19745</v>
      </c>
      <c r="J112" t="s">
        <v>49</v>
      </c>
    </row>
    <row r="113" spans="1:10" hidden="1" x14ac:dyDescent="0.2">
      <c r="A113" t="s">
        <v>12</v>
      </c>
      <c r="B113" t="s">
        <v>13</v>
      </c>
      <c r="C113">
        <v>2017</v>
      </c>
      <c r="D113" t="s">
        <v>14</v>
      </c>
      <c r="E113" t="s">
        <v>15</v>
      </c>
      <c r="F113" t="s">
        <v>16</v>
      </c>
      <c r="G113">
        <v>177</v>
      </c>
      <c r="H113" t="s">
        <v>17</v>
      </c>
      <c r="I113" s="3">
        <f t="shared" ref="I113:I114" si="23">I112*1.1</f>
        <v>21719.5</v>
      </c>
      <c r="J113" t="s">
        <v>49</v>
      </c>
    </row>
    <row r="114" spans="1:10" hidden="1" x14ac:dyDescent="0.2">
      <c r="A114" t="s">
        <v>12</v>
      </c>
      <c r="B114" t="s">
        <v>13</v>
      </c>
      <c r="C114">
        <v>2018</v>
      </c>
      <c r="D114" t="s">
        <v>14</v>
      </c>
      <c r="E114" t="s">
        <v>15</v>
      </c>
      <c r="F114" t="s">
        <v>16</v>
      </c>
      <c r="G114">
        <v>177</v>
      </c>
      <c r="H114" t="s">
        <v>17</v>
      </c>
      <c r="I114" s="3">
        <f t="shared" si="23"/>
        <v>23891.45</v>
      </c>
      <c r="J114" t="s">
        <v>49</v>
      </c>
    </row>
    <row r="115" spans="1:10" hidden="1" x14ac:dyDescent="0.2">
      <c r="A115" t="s">
        <v>19</v>
      </c>
      <c r="B115" t="s">
        <v>13</v>
      </c>
      <c r="C115">
        <v>2015</v>
      </c>
      <c r="D115" t="s">
        <v>14</v>
      </c>
      <c r="E115" t="s">
        <v>15</v>
      </c>
      <c r="F115" t="s">
        <v>16</v>
      </c>
      <c r="G115">
        <v>350</v>
      </c>
      <c r="H115" t="s">
        <v>20</v>
      </c>
      <c r="I115" s="3">
        <v>25680</v>
      </c>
      <c r="J115" t="s">
        <v>49</v>
      </c>
    </row>
    <row r="116" spans="1:10" hidden="1" x14ac:dyDescent="0.2">
      <c r="A116" t="s">
        <v>19</v>
      </c>
      <c r="B116" t="s">
        <v>13</v>
      </c>
      <c r="C116">
        <v>2016</v>
      </c>
      <c r="D116" t="s">
        <v>14</v>
      </c>
      <c r="E116" t="s">
        <v>15</v>
      </c>
      <c r="F116" t="s">
        <v>16</v>
      </c>
      <c r="G116">
        <v>350</v>
      </c>
      <c r="H116" t="s">
        <v>20</v>
      </c>
      <c r="I116" s="3">
        <f>I115*1.1</f>
        <v>28248.000000000004</v>
      </c>
      <c r="J116" t="s">
        <v>49</v>
      </c>
    </row>
    <row r="117" spans="1:10" hidden="1" x14ac:dyDescent="0.2">
      <c r="A117" t="s">
        <v>19</v>
      </c>
      <c r="B117" t="s">
        <v>13</v>
      </c>
      <c r="C117">
        <v>2017</v>
      </c>
      <c r="D117" t="s">
        <v>14</v>
      </c>
      <c r="E117" t="s">
        <v>15</v>
      </c>
      <c r="F117" t="s">
        <v>16</v>
      </c>
      <c r="G117">
        <v>350</v>
      </c>
      <c r="H117" t="s">
        <v>20</v>
      </c>
      <c r="I117" s="3">
        <f t="shared" ref="I117" si="24">I116*1.1</f>
        <v>31072.800000000007</v>
      </c>
      <c r="J117" t="s">
        <v>49</v>
      </c>
    </row>
    <row r="118" spans="1:10" hidden="1" x14ac:dyDescent="0.2">
      <c r="A118" t="s">
        <v>19</v>
      </c>
      <c r="B118" t="s">
        <v>13</v>
      </c>
      <c r="C118">
        <v>2018</v>
      </c>
      <c r="D118" t="s">
        <v>14</v>
      </c>
      <c r="E118" t="s">
        <v>15</v>
      </c>
      <c r="F118" t="s">
        <v>16</v>
      </c>
      <c r="G118">
        <v>350</v>
      </c>
      <c r="H118" t="s">
        <v>20</v>
      </c>
      <c r="I118" s="3">
        <f>I117*1.1</f>
        <v>34180.080000000009</v>
      </c>
      <c r="J118" t="s">
        <v>49</v>
      </c>
    </row>
    <row r="119" spans="1:10" hidden="1" x14ac:dyDescent="0.2">
      <c r="A119" t="s">
        <v>21</v>
      </c>
      <c r="B119" t="s">
        <v>13</v>
      </c>
      <c r="C119">
        <v>2015</v>
      </c>
      <c r="D119" t="s">
        <v>14</v>
      </c>
      <c r="E119" t="s">
        <v>15</v>
      </c>
      <c r="F119" t="s">
        <v>16</v>
      </c>
      <c r="G119">
        <v>245</v>
      </c>
      <c r="H119" t="s">
        <v>22</v>
      </c>
      <c r="I119" s="3">
        <v>29315</v>
      </c>
      <c r="J119" t="s">
        <v>49</v>
      </c>
    </row>
    <row r="120" spans="1:10" hidden="1" x14ac:dyDescent="0.2">
      <c r="A120" t="s">
        <v>21</v>
      </c>
      <c r="B120" t="s">
        <v>13</v>
      </c>
      <c r="C120">
        <v>2016</v>
      </c>
      <c r="D120" t="s">
        <v>14</v>
      </c>
      <c r="E120" t="s">
        <v>15</v>
      </c>
      <c r="F120" t="s">
        <v>16</v>
      </c>
      <c r="G120">
        <v>245</v>
      </c>
      <c r="H120" t="s">
        <v>22</v>
      </c>
      <c r="I120" s="3">
        <f>I119*1.1</f>
        <v>32246.500000000004</v>
      </c>
      <c r="J120" t="s">
        <v>49</v>
      </c>
    </row>
    <row r="121" spans="1:10" hidden="1" x14ac:dyDescent="0.2">
      <c r="A121" t="s">
        <v>21</v>
      </c>
      <c r="B121" t="s">
        <v>13</v>
      </c>
      <c r="C121">
        <v>2017</v>
      </c>
      <c r="D121" t="s">
        <v>14</v>
      </c>
      <c r="E121" t="s">
        <v>15</v>
      </c>
      <c r="F121" t="s">
        <v>16</v>
      </c>
      <c r="G121">
        <v>245</v>
      </c>
      <c r="H121" t="s">
        <v>22</v>
      </c>
      <c r="I121" s="3">
        <f t="shared" ref="I121:I122" si="25">I120*1.1</f>
        <v>35471.150000000009</v>
      </c>
      <c r="J121" t="s">
        <v>49</v>
      </c>
    </row>
    <row r="122" spans="1:10" hidden="1" x14ac:dyDescent="0.2">
      <c r="A122" t="s">
        <v>21</v>
      </c>
      <c r="B122" t="s">
        <v>13</v>
      </c>
      <c r="C122">
        <v>2018</v>
      </c>
      <c r="D122" t="s">
        <v>14</v>
      </c>
      <c r="E122" t="s">
        <v>15</v>
      </c>
      <c r="F122" t="s">
        <v>16</v>
      </c>
      <c r="G122">
        <v>245</v>
      </c>
      <c r="H122" t="s">
        <v>22</v>
      </c>
      <c r="I122" s="3">
        <f t="shared" si="25"/>
        <v>39018.265000000014</v>
      </c>
      <c r="J122" t="s">
        <v>49</v>
      </c>
    </row>
    <row r="123" spans="1:10" hidden="1" x14ac:dyDescent="0.2">
      <c r="A123" t="s">
        <v>23</v>
      </c>
      <c r="B123" t="s">
        <v>13</v>
      </c>
      <c r="C123">
        <v>2015</v>
      </c>
      <c r="D123" t="s">
        <v>24</v>
      </c>
      <c r="E123" t="s">
        <v>15</v>
      </c>
      <c r="F123" t="s">
        <v>16</v>
      </c>
      <c r="G123">
        <v>185</v>
      </c>
      <c r="H123" t="s">
        <v>25</v>
      </c>
      <c r="I123" s="3">
        <v>17950</v>
      </c>
      <c r="J123" t="s">
        <v>49</v>
      </c>
    </row>
    <row r="124" spans="1:10" hidden="1" x14ac:dyDescent="0.2">
      <c r="A124" t="s">
        <v>23</v>
      </c>
      <c r="B124" t="s">
        <v>13</v>
      </c>
      <c r="C124">
        <v>2016</v>
      </c>
      <c r="D124" t="s">
        <v>24</v>
      </c>
      <c r="E124" t="s">
        <v>15</v>
      </c>
      <c r="F124" t="s">
        <v>16</v>
      </c>
      <c r="G124">
        <v>185</v>
      </c>
      <c r="H124" t="s">
        <v>25</v>
      </c>
      <c r="I124" s="3">
        <f>I123*1.1</f>
        <v>19745</v>
      </c>
      <c r="J124" t="s">
        <v>49</v>
      </c>
    </row>
    <row r="125" spans="1:10" hidden="1" x14ac:dyDescent="0.2">
      <c r="A125" t="s">
        <v>23</v>
      </c>
      <c r="B125" t="s">
        <v>13</v>
      </c>
      <c r="C125">
        <v>2017</v>
      </c>
      <c r="D125" t="s">
        <v>24</v>
      </c>
      <c r="E125" t="s">
        <v>15</v>
      </c>
      <c r="F125" t="s">
        <v>16</v>
      </c>
      <c r="G125">
        <v>185</v>
      </c>
      <c r="H125" t="s">
        <v>25</v>
      </c>
      <c r="I125" s="3">
        <f t="shared" ref="I125:I126" si="26">I124*1.1</f>
        <v>21719.5</v>
      </c>
      <c r="J125" t="s">
        <v>49</v>
      </c>
    </row>
    <row r="126" spans="1:10" hidden="1" x14ac:dyDescent="0.2">
      <c r="A126" t="s">
        <v>23</v>
      </c>
      <c r="B126" t="s">
        <v>13</v>
      </c>
      <c r="C126">
        <v>2018</v>
      </c>
      <c r="D126" t="s">
        <v>24</v>
      </c>
      <c r="E126" t="s">
        <v>15</v>
      </c>
      <c r="F126" t="s">
        <v>16</v>
      </c>
      <c r="G126">
        <v>185</v>
      </c>
      <c r="H126" t="s">
        <v>25</v>
      </c>
      <c r="I126" s="3">
        <f t="shared" si="26"/>
        <v>23891.45</v>
      </c>
      <c r="J126" t="s">
        <v>49</v>
      </c>
    </row>
    <row r="127" spans="1:10" hidden="1" x14ac:dyDescent="0.2">
      <c r="A127" t="s">
        <v>12</v>
      </c>
      <c r="B127" t="s">
        <v>26</v>
      </c>
      <c r="C127">
        <v>2015</v>
      </c>
      <c r="D127" t="s">
        <v>14</v>
      </c>
      <c r="E127" t="s">
        <v>15</v>
      </c>
      <c r="F127" t="s">
        <v>16</v>
      </c>
      <c r="G127">
        <v>266</v>
      </c>
      <c r="H127" t="s">
        <v>27</v>
      </c>
      <c r="I127" s="3">
        <v>27895</v>
      </c>
      <c r="J127" t="s">
        <v>49</v>
      </c>
    </row>
    <row r="128" spans="1:10" hidden="1" x14ac:dyDescent="0.2">
      <c r="A128" t="s">
        <v>12</v>
      </c>
      <c r="B128" t="s">
        <v>26</v>
      </c>
      <c r="C128">
        <v>2016</v>
      </c>
      <c r="D128" t="s">
        <v>14</v>
      </c>
      <c r="E128" t="s">
        <v>15</v>
      </c>
      <c r="F128" t="s">
        <v>16</v>
      </c>
      <c r="G128">
        <v>266</v>
      </c>
      <c r="H128" t="s">
        <v>27</v>
      </c>
      <c r="I128" s="3">
        <f>I127*1.1</f>
        <v>30684.500000000004</v>
      </c>
      <c r="J128" t="s">
        <v>49</v>
      </c>
    </row>
    <row r="129" spans="1:10" hidden="1" x14ac:dyDescent="0.2">
      <c r="A129" t="s">
        <v>12</v>
      </c>
      <c r="B129" t="s">
        <v>26</v>
      </c>
      <c r="C129">
        <v>2017</v>
      </c>
      <c r="D129" t="s">
        <v>14</v>
      </c>
      <c r="E129" t="s">
        <v>15</v>
      </c>
      <c r="F129" t="s">
        <v>16</v>
      </c>
      <c r="G129">
        <v>266</v>
      </c>
      <c r="H129" t="s">
        <v>27</v>
      </c>
      <c r="I129" s="3">
        <f t="shared" ref="I129:I130" si="27">I128*1.1</f>
        <v>33752.950000000004</v>
      </c>
      <c r="J129" t="s">
        <v>49</v>
      </c>
    </row>
    <row r="130" spans="1:10" hidden="1" x14ac:dyDescent="0.2">
      <c r="A130" t="s">
        <v>12</v>
      </c>
      <c r="B130" t="s">
        <v>26</v>
      </c>
      <c r="C130">
        <v>2018</v>
      </c>
      <c r="D130" t="s">
        <v>14</v>
      </c>
      <c r="E130" t="s">
        <v>15</v>
      </c>
      <c r="F130" t="s">
        <v>16</v>
      </c>
      <c r="G130">
        <v>266</v>
      </c>
      <c r="H130" t="s">
        <v>27</v>
      </c>
      <c r="I130" s="3">
        <f t="shared" si="27"/>
        <v>37128.24500000001</v>
      </c>
      <c r="J130" t="s">
        <v>49</v>
      </c>
    </row>
    <row r="131" spans="1:10" x14ac:dyDescent="0.2">
      <c r="A131" t="s">
        <v>19</v>
      </c>
      <c r="B131" t="s">
        <v>26</v>
      </c>
      <c r="C131">
        <v>2015</v>
      </c>
      <c r="D131" t="s">
        <v>14</v>
      </c>
      <c r="E131" t="s">
        <v>15</v>
      </c>
      <c r="F131" t="s">
        <v>16</v>
      </c>
      <c r="G131">
        <v>350</v>
      </c>
      <c r="H131" t="s">
        <v>28</v>
      </c>
      <c r="I131" s="3">
        <v>27000</v>
      </c>
      <c r="J131" t="s">
        <v>49</v>
      </c>
    </row>
    <row r="132" spans="1:10" x14ac:dyDescent="0.2">
      <c r="A132" t="s">
        <v>19</v>
      </c>
      <c r="B132" t="s">
        <v>26</v>
      </c>
      <c r="C132">
        <v>2016</v>
      </c>
      <c r="D132" t="s">
        <v>14</v>
      </c>
      <c r="E132" t="s">
        <v>15</v>
      </c>
      <c r="F132" t="s">
        <v>16</v>
      </c>
      <c r="G132">
        <v>350</v>
      </c>
      <c r="H132" t="s">
        <v>28</v>
      </c>
      <c r="I132" s="3">
        <f>I131*1.05</f>
        <v>28350</v>
      </c>
      <c r="J132" t="s">
        <v>49</v>
      </c>
    </row>
    <row r="133" spans="1:10" x14ac:dyDescent="0.2">
      <c r="A133" t="s">
        <v>19</v>
      </c>
      <c r="B133" t="s">
        <v>26</v>
      </c>
      <c r="C133">
        <v>2017</v>
      </c>
      <c r="D133" t="s">
        <v>14</v>
      </c>
      <c r="E133" t="s">
        <v>15</v>
      </c>
      <c r="F133" t="s">
        <v>16</v>
      </c>
      <c r="G133">
        <v>350</v>
      </c>
      <c r="H133" t="s">
        <v>28</v>
      </c>
      <c r="I133" s="3">
        <f t="shared" ref="I133:I134" si="28">I132*1.05</f>
        <v>29767.5</v>
      </c>
      <c r="J133" t="s">
        <v>49</v>
      </c>
    </row>
    <row r="134" spans="1:10" x14ac:dyDescent="0.2">
      <c r="A134" t="s">
        <v>19</v>
      </c>
      <c r="B134" t="s">
        <v>26</v>
      </c>
      <c r="C134">
        <v>2018</v>
      </c>
      <c r="D134" t="s">
        <v>14</v>
      </c>
      <c r="E134" t="s">
        <v>15</v>
      </c>
      <c r="F134" t="s">
        <v>16</v>
      </c>
      <c r="G134">
        <v>350</v>
      </c>
      <c r="H134" t="s">
        <v>28</v>
      </c>
      <c r="I134" s="3">
        <f t="shared" si="28"/>
        <v>31255.875</v>
      </c>
      <c r="J134" t="s">
        <v>49</v>
      </c>
    </row>
    <row r="135" spans="1:10" hidden="1" x14ac:dyDescent="0.2">
      <c r="A135" t="s">
        <v>21</v>
      </c>
      <c r="B135" t="s">
        <v>26</v>
      </c>
      <c r="C135">
        <v>2015</v>
      </c>
      <c r="D135" t="s">
        <v>14</v>
      </c>
      <c r="E135" t="s">
        <v>15</v>
      </c>
      <c r="F135" t="s">
        <v>16</v>
      </c>
      <c r="G135">
        <v>355</v>
      </c>
      <c r="H135" t="s">
        <v>29</v>
      </c>
      <c r="I135" s="3">
        <v>52000</v>
      </c>
      <c r="J135" t="s">
        <v>49</v>
      </c>
    </row>
    <row r="136" spans="1:10" hidden="1" x14ac:dyDescent="0.2">
      <c r="A136" t="s">
        <v>21</v>
      </c>
      <c r="B136" t="s">
        <v>26</v>
      </c>
      <c r="C136">
        <v>2016</v>
      </c>
      <c r="D136" t="s">
        <v>14</v>
      </c>
      <c r="E136" t="s">
        <v>15</v>
      </c>
      <c r="F136" t="s">
        <v>16</v>
      </c>
      <c r="G136">
        <v>355</v>
      </c>
      <c r="H136" t="s">
        <v>29</v>
      </c>
      <c r="I136" s="3">
        <f>I135*1.1</f>
        <v>57200.000000000007</v>
      </c>
      <c r="J136" t="s">
        <v>49</v>
      </c>
    </row>
    <row r="137" spans="1:10" hidden="1" x14ac:dyDescent="0.2">
      <c r="A137" t="s">
        <v>21</v>
      </c>
      <c r="B137" t="s">
        <v>26</v>
      </c>
      <c r="C137">
        <v>2017</v>
      </c>
      <c r="D137" t="s">
        <v>14</v>
      </c>
      <c r="E137" t="s">
        <v>15</v>
      </c>
      <c r="F137" t="s">
        <v>16</v>
      </c>
      <c r="G137">
        <v>355</v>
      </c>
      <c r="H137" t="s">
        <v>29</v>
      </c>
      <c r="I137" s="3">
        <f t="shared" ref="I137:I138" si="29">I136*1.1</f>
        <v>62920.000000000015</v>
      </c>
      <c r="J137" t="s">
        <v>49</v>
      </c>
    </row>
    <row r="138" spans="1:10" hidden="1" x14ac:dyDescent="0.2">
      <c r="A138" t="s">
        <v>21</v>
      </c>
      <c r="B138" t="s">
        <v>26</v>
      </c>
      <c r="C138">
        <v>2018</v>
      </c>
      <c r="D138" t="s">
        <v>14</v>
      </c>
      <c r="E138" t="s">
        <v>15</v>
      </c>
      <c r="F138" t="s">
        <v>16</v>
      </c>
      <c r="G138">
        <v>355</v>
      </c>
      <c r="H138" t="s">
        <v>29</v>
      </c>
      <c r="I138" s="3">
        <f t="shared" si="29"/>
        <v>69212.000000000015</v>
      </c>
      <c r="J138" t="s">
        <v>49</v>
      </c>
    </row>
    <row r="139" spans="1:10" hidden="1" x14ac:dyDescent="0.2">
      <c r="A139" t="s">
        <v>23</v>
      </c>
      <c r="B139" t="s">
        <v>26</v>
      </c>
      <c r="C139">
        <v>2015</v>
      </c>
      <c r="D139" t="s">
        <v>24</v>
      </c>
      <c r="E139" t="s">
        <v>15</v>
      </c>
      <c r="F139" t="s">
        <v>16</v>
      </c>
      <c r="G139">
        <v>138</v>
      </c>
      <c r="H139" t="s">
        <v>30</v>
      </c>
      <c r="I139" s="3">
        <v>15295</v>
      </c>
      <c r="J139" t="s">
        <v>49</v>
      </c>
    </row>
    <row r="140" spans="1:10" hidden="1" x14ac:dyDescent="0.2">
      <c r="A140" t="s">
        <v>23</v>
      </c>
      <c r="B140" t="s">
        <v>26</v>
      </c>
      <c r="C140">
        <v>2016</v>
      </c>
      <c r="D140" t="s">
        <v>24</v>
      </c>
      <c r="E140" t="s">
        <v>15</v>
      </c>
      <c r="F140" t="s">
        <v>16</v>
      </c>
      <c r="G140">
        <v>138</v>
      </c>
      <c r="H140" t="s">
        <v>30</v>
      </c>
      <c r="I140" s="3">
        <f>I139*1.1</f>
        <v>16824.5</v>
      </c>
      <c r="J140" t="s">
        <v>49</v>
      </c>
    </row>
    <row r="141" spans="1:10" hidden="1" x14ac:dyDescent="0.2">
      <c r="A141" t="s">
        <v>23</v>
      </c>
      <c r="B141" t="s">
        <v>26</v>
      </c>
      <c r="C141">
        <v>2017</v>
      </c>
      <c r="D141" t="s">
        <v>24</v>
      </c>
      <c r="E141" t="s">
        <v>15</v>
      </c>
      <c r="F141" t="s">
        <v>16</v>
      </c>
      <c r="G141">
        <v>138</v>
      </c>
      <c r="H141" t="s">
        <v>30</v>
      </c>
      <c r="I141" s="3">
        <f t="shared" ref="I141:I142" si="30">I140*1.1</f>
        <v>18506.95</v>
      </c>
      <c r="J141" t="s">
        <v>49</v>
      </c>
    </row>
    <row r="142" spans="1:10" hidden="1" x14ac:dyDescent="0.2">
      <c r="A142" t="s">
        <v>23</v>
      </c>
      <c r="B142" t="s">
        <v>26</v>
      </c>
      <c r="C142">
        <v>2018</v>
      </c>
      <c r="D142" t="s">
        <v>24</v>
      </c>
      <c r="E142" t="s">
        <v>15</v>
      </c>
      <c r="F142" t="s">
        <v>16</v>
      </c>
      <c r="G142">
        <v>138</v>
      </c>
      <c r="H142" t="s">
        <v>30</v>
      </c>
      <c r="I142" s="3">
        <f t="shared" si="30"/>
        <v>20357.645000000004</v>
      </c>
      <c r="J142" t="s">
        <v>49</v>
      </c>
    </row>
    <row r="143" spans="1:10" hidden="1" x14ac:dyDescent="0.2">
      <c r="A143" t="s">
        <v>12</v>
      </c>
      <c r="B143" t="s">
        <v>31</v>
      </c>
      <c r="C143">
        <v>2015</v>
      </c>
      <c r="D143" t="s">
        <v>32</v>
      </c>
      <c r="E143" t="s">
        <v>15</v>
      </c>
      <c r="F143" t="s">
        <v>16</v>
      </c>
      <c r="G143">
        <v>290</v>
      </c>
      <c r="H143" t="s">
        <v>33</v>
      </c>
      <c r="I143" s="3">
        <v>34900</v>
      </c>
      <c r="J143" t="s">
        <v>49</v>
      </c>
    </row>
    <row r="144" spans="1:10" hidden="1" x14ac:dyDescent="0.2">
      <c r="A144" t="s">
        <v>12</v>
      </c>
      <c r="B144" t="s">
        <v>31</v>
      </c>
      <c r="C144">
        <v>2016</v>
      </c>
      <c r="D144" t="s">
        <v>32</v>
      </c>
      <c r="E144" t="s">
        <v>15</v>
      </c>
      <c r="F144" t="s">
        <v>16</v>
      </c>
      <c r="G144">
        <v>290</v>
      </c>
      <c r="H144" t="s">
        <v>33</v>
      </c>
      <c r="I144" s="3">
        <f>34900*1.1</f>
        <v>38390</v>
      </c>
      <c r="J144" t="s">
        <v>49</v>
      </c>
    </row>
    <row r="145" spans="1:10" hidden="1" x14ac:dyDescent="0.2">
      <c r="A145" t="s">
        <v>12</v>
      </c>
      <c r="B145" t="s">
        <v>31</v>
      </c>
      <c r="C145">
        <v>2017</v>
      </c>
      <c r="D145" t="s">
        <v>32</v>
      </c>
      <c r="E145" t="s">
        <v>15</v>
      </c>
      <c r="F145" t="s">
        <v>16</v>
      </c>
      <c r="G145">
        <v>290</v>
      </c>
      <c r="H145" t="s">
        <v>33</v>
      </c>
      <c r="I145" s="3">
        <f t="shared" ref="I145:I146" si="31">34900*1.1</f>
        <v>38390</v>
      </c>
      <c r="J145" t="s">
        <v>49</v>
      </c>
    </row>
    <row r="146" spans="1:10" hidden="1" x14ac:dyDescent="0.2">
      <c r="A146" t="s">
        <v>12</v>
      </c>
      <c r="B146" t="s">
        <v>31</v>
      </c>
      <c r="C146">
        <v>2018</v>
      </c>
      <c r="D146" t="s">
        <v>32</v>
      </c>
      <c r="E146" t="s">
        <v>15</v>
      </c>
      <c r="F146" t="s">
        <v>16</v>
      </c>
      <c r="G146">
        <v>290</v>
      </c>
      <c r="H146" t="s">
        <v>33</v>
      </c>
      <c r="I146" s="3">
        <f t="shared" si="31"/>
        <v>38390</v>
      </c>
      <c r="J146" t="s">
        <v>49</v>
      </c>
    </row>
    <row r="147" spans="1:10" hidden="1" x14ac:dyDescent="0.2">
      <c r="A147" t="s">
        <v>12</v>
      </c>
      <c r="B147" t="s">
        <v>31</v>
      </c>
      <c r="C147">
        <v>2015</v>
      </c>
      <c r="D147" t="s">
        <v>32</v>
      </c>
      <c r="E147" t="s">
        <v>34</v>
      </c>
      <c r="F147" t="s">
        <v>16</v>
      </c>
      <c r="G147">
        <v>335</v>
      </c>
      <c r="H147" t="s">
        <v>35</v>
      </c>
      <c r="I147" s="3">
        <v>52650</v>
      </c>
      <c r="J147" t="s">
        <v>49</v>
      </c>
    </row>
    <row r="148" spans="1:10" hidden="1" x14ac:dyDescent="0.2">
      <c r="A148" t="s">
        <v>12</v>
      </c>
      <c r="B148" t="s">
        <v>31</v>
      </c>
      <c r="C148">
        <v>2016</v>
      </c>
      <c r="D148" t="s">
        <v>32</v>
      </c>
      <c r="E148" t="s">
        <v>34</v>
      </c>
      <c r="F148" t="s">
        <v>16</v>
      </c>
      <c r="G148">
        <v>335</v>
      </c>
      <c r="H148" t="s">
        <v>35</v>
      </c>
      <c r="I148" s="3">
        <f>52650*1.1</f>
        <v>57915.000000000007</v>
      </c>
      <c r="J148" t="s">
        <v>49</v>
      </c>
    </row>
    <row r="149" spans="1:10" hidden="1" x14ac:dyDescent="0.2">
      <c r="A149" t="s">
        <v>12</v>
      </c>
      <c r="B149" t="s">
        <v>31</v>
      </c>
      <c r="C149">
        <v>2017</v>
      </c>
      <c r="D149" t="s">
        <v>32</v>
      </c>
      <c r="E149" t="s">
        <v>34</v>
      </c>
      <c r="F149" t="s">
        <v>16</v>
      </c>
      <c r="G149">
        <v>335</v>
      </c>
      <c r="H149" t="s">
        <v>35</v>
      </c>
      <c r="I149" s="3">
        <f t="shared" ref="I149:I150" si="32">52650*1.1</f>
        <v>57915.000000000007</v>
      </c>
      <c r="J149" t="s">
        <v>49</v>
      </c>
    </row>
    <row r="150" spans="1:10" hidden="1" x14ac:dyDescent="0.2">
      <c r="A150" t="s">
        <v>12</v>
      </c>
      <c r="B150" t="s">
        <v>31</v>
      </c>
      <c r="C150">
        <v>2018</v>
      </c>
      <c r="D150" t="s">
        <v>32</v>
      </c>
      <c r="E150" t="s">
        <v>34</v>
      </c>
      <c r="F150" t="s">
        <v>16</v>
      </c>
      <c r="G150">
        <v>335</v>
      </c>
      <c r="H150" t="s">
        <v>35</v>
      </c>
      <c r="I150" s="3">
        <f t="shared" si="32"/>
        <v>57915.000000000007</v>
      </c>
      <c r="J150" t="s">
        <v>49</v>
      </c>
    </row>
    <row r="151" spans="1:10" hidden="1" x14ac:dyDescent="0.2">
      <c r="A151" t="s">
        <v>12</v>
      </c>
      <c r="B151" t="s">
        <v>31</v>
      </c>
      <c r="C151">
        <v>2015</v>
      </c>
      <c r="D151" t="s">
        <v>32</v>
      </c>
      <c r="E151" t="s">
        <v>34</v>
      </c>
      <c r="F151" t="s">
        <v>16</v>
      </c>
      <c r="G151">
        <v>420</v>
      </c>
      <c r="H151" t="s">
        <v>36</v>
      </c>
      <c r="I151" s="3">
        <v>83650</v>
      </c>
      <c r="J151" t="s">
        <v>49</v>
      </c>
    </row>
    <row r="152" spans="1:10" hidden="1" x14ac:dyDescent="0.2">
      <c r="A152" t="s">
        <v>12</v>
      </c>
      <c r="B152" t="s">
        <v>31</v>
      </c>
      <c r="C152">
        <v>2016</v>
      </c>
      <c r="D152" t="s">
        <v>32</v>
      </c>
      <c r="E152" t="s">
        <v>34</v>
      </c>
      <c r="F152" t="s">
        <v>16</v>
      </c>
      <c r="G152">
        <v>420</v>
      </c>
      <c r="H152" t="s">
        <v>36</v>
      </c>
      <c r="I152" s="3">
        <f>83650*1.1</f>
        <v>92015.000000000015</v>
      </c>
      <c r="J152" t="s">
        <v>49</v>
      </c>
    </row>
    <row r="153" spans="1:10" hidden="1" x14ac:dyDescent="0.2">
      <c r="A153" t="s">
        <v>12</v>
      </c>
      <c r="B153" t="s">
        <v>31</v>
      </c>
      <c r="C153">
        <v>2017</v>
      </c>
      <c r="D153" t="s">
        <v>32</v>
      </c>
      <c r="E153" t="s">
        <v>34</v>
      </c>
      <c r="F153" t="s">
        <v>16</v>
      </c>
      <c r="G153">
        <v>420</v>
      </c>
      <c r="H153" t="s">
        <v>36</v>
      </c>
      <c r="I153" s="3">
        <f t="shared" ref="I153:I154" si="33">83650*1.1</f>
        <v>92015.000000000015</v>
      </c>
      <c r="J153" t="s">
        <v>49</v>
      </c>
    </row>
    <row r="154" spans="1:10" hidden="1" x14ac:dyDescent="0.2">
      <c r="A154" t="s">
        <v>12</v>
      </c>
      <c r="B154" t="s">
        <v>31</v>
      </c>
      <c r="C154">
        <v>2018</v>
      </c>
      <c r="D154" t="s">
        <v>32</v>
      </c>
      <c r="E154" t="s">
        <v>34</v>
      </c>
      <c r="F154" t="s">
        <v>16</v>
      </c>
      <c r="G154">
        <v>420</v>
      </c>
      <c r="H154" t="s">
        <v>36</v>
      </c>
      <c r="I154" s="3">
        <f t="shared" si="33"/>
        <v>92015.000000000015</v>
      </c>
      <c r="J154" t="s">
        <v>49</v>
      </c>
    </row>
    <row r="155" spans="1:10" hidden="1" x14ac:dyDescent="0.2">
      <c r="A155" t="s">
        <v>12</v>
      </c>
      <c r="B155" t="s">
        <v>37</v>
      </c>
      <c r="C155">
        <v>2015</v>
      </c>
      <c r="D155" t="s">
        <v>32</v>
      </c>
      <c r="E155" t="s">
        <v>15</v>
      </c>
      <c r="F155" t="s">
        <v>16</v>
      </c>
      <c r="G155">
        <v>190</v>
      </c>
      <c r="H155" t="s">
        <v>38</v>
      </c>
      <c r="I155" s="3">
        <v>36000</v>
      </c>
      <c r="J155" t="s">
        <v>49</v>
      </c>
    </row>
    <row r="156" spans="1:10" hidden="1" x14ac:dyDescent="0.2">
      <c r="A156" t="s">
        <v>12</v>
      </c>
      <c r="B156" t="s">
        <v>37</v>
      </c>
      <c r="C156">
        <v>2016</v>
      </c>
      <c r="D156" t="s">
        <v>32</v>
      </c>
      <c r="E156" t="s">
        <v>15</v>
      </c>
      <c r="F156" t="s">
        <v>16</v>
      </c>
      <c r="G156">
        <v>190</v>
      </c>
      <c r="H156" t="s">
        <v>38</v>
      </c>
      <c r="I156" s="3">
        <f>I155*1.1</f>
        <v>39600</v>
      </c>
      <c r="J156" t="s">
        <v>49</v>
      </c>
    </row>
    <row r="157" spans="1:10" hidden="1" x14ac:dyDescent="0.2">
      <c r="A157" t="s">
        <v>12</v>
      </c>
      <c r="B157" t="s">
        <v>37</v>
      </c>
      <c r="C157">
        <v>2017</v>
      </c>
      <c r="D157" t="s">
        <v>32</v>
      </c>
      <c r="E157" t="s">
        <v>15</v>
      </c>
      <c r="F157" t="s">
        <v>16</v>
      </c>
      <c r="G157">
        <v>190</v>
      </c>
      <c r="H157" t="s">
        <v>38</v>
      </c>
      <c r="I157" s="3">
        <f t="shared" ref="I157:I158" si="34">I156*1.1</f>
        <v>43560</v>
      </c>
      <c r="J157" t="s">
        <v>49</v>
      </c>
    </row>
    <row r="158" spans="1:10" hidden="1" x14ac:dyDescent="0.2">
      <c r="A158" t="s">
        <v>12</v>
      </c>
      <c r="B158" t="s">
        <v>37</v>
      </c>
      <c r="C158">
        <v>2018</v>
      </c>
      <c r="D158" t="s">
        <v>32</v>
      </c>
      <c r="E158" t="s">
        <v>15</v>
      </c>
      <c r="F158" t="s">
        <v>16</v>
      </c>
      <c r="G158">
        <v>190</v>
      </c>
      <c r="H158" t="s">
        <v>38</v>
      </c>
      <c r="I158" s="3">
        <f t="shared" si="34"/>
        <v>47916.000000000007</v>
      </c>
      <c r="J158" t="s">
        <v>49</v>
      </c>
    </row>
    <row r="159" spans="1:10" hidden="1" x14ac:dyDescent="0.2">
      <c r="A159" t="s">
        <v>19</v>
      </c>
      <c r="B159" t="s">
        <v>37</v>
      </c>
      <c r="C159">
        <v>2015</v>
      </c>
      <c r="D159" t="s">
        <v>32</v>
      </c>
      <c r="E159" t="s">
        <v>15</v>
      </c>
      <c r="F159" t="s">
        <v>16</v>
      </c>
      <c r="G159">
        <v>252</v>
      </c>
      <c r="H159" t="s">
        <v>35</v>
      </c>
      <c r="I159" s="3">
        <v>42600</v>
      </c>
      <c r="J159" t="s">
        <v>49</v>
      </c>
    </row>
    <row r="160" spans="1:10" hidden="1" x14ac:dyDescent="0.2">
      <c r="A160" t="s">
        <v>19</v>
      </c>
      <c r="B160" t="s">
        <v>37</v>
      </c>
      <c r="C160">
        <v>2016</v>
      </c>
      <c r="D160" t="s">
        <v>32</v>
      </c>
      <c r="E160" t="s">
        <v>15</v>
      </c>
      <c r="F160" t="s">
        <v>16</v>
      </c>
      <c r="G160">
        <v>252</v>
      </c>
      <c r="H160" t="s">
        <v>35</v>
      </c>
      <c r="I160" s="3">
        <f>42600*1.1</f>
        <v>46860.000000000007</v>
      </c>
      <c r="J160" t="s">
        <v>49</v>
      </c>
    </row>
    <row r="161" spans="1:10" hidden="1" x14ac:dyDescent="0.2">
      <c r="A161" t="s">
        <v>19</v>
      </c>
      <c r="B161" t="s">
        <v>37</v>
      </c>
      <c r="C161">
        <v>2017</v>
      </c>
      <c r="D161" t="s">
        <v>32</v>
      </c>
      <c r="E161" t="s">
        <v>15</v>
      </c>
      <c r="F161" t="s">
        <v>16</v>
      </c>
      <c r="G161">
        <v>252</v>
      </c>
      <c r="H161" t="s">
        <v>35</v>
      </c>
      <c r="I161" s="3">
        <f t="shared" ref="I161:I162" si="35">42600*1.1</f>
        <v>46860.000000000007</v>
      </c>
      <c r="J161" t="s">
        <v>49</v>
      </c>
    </row>
    <row r="162" spans="1:10" hidden="1" x14ac:dyDescent="0.2">
      <c r="A162" t="s">
        <v>19</v>
      </c>
      <c r="B162" t="s">
        <v>37</v>
      </c>
      <c r="C162">
        <v>2018</v>
      </c>
      <c r="D162" t="s">
        <v>32</v>
      </c>
      <c r="E162" t="s">
        <v>15</v>
      </c>
      <c r="F162" t="s">
        <v>16</v>
      </c>
      <c r="G162">
        <v>252</v>
      </c>
      <c r="H162" t="s">
        <v>35</v>
      </c>
      <c r="I162" s="3">
        <f t="shared" si="35"/>
        <v>46860.000000000007</v>
      </c>
      <c r="J162" t="s">
        <v>49</v>
      </c>
    </row>
    <row r="163" spans="1:10" hidden="1" x14ac:dyDescent="0.2">
      <c r="A163" t="s">
        <v>21</v>
      </c>
      <c r="B163" t="s">
        <v>37</v>
      </c>
      <c r="C163">
        <v>2015</v>
      </c>
      <c r="D163" t="s">
        <v>32</v>
      </c>
      <c r="E163" t="s">
        <v>15</v>
      </c>
      <c r="F163" t="s">
        <v>16</v>
      </c>
      <c r="G163">
        <v>252</v>
      </c>
      <c r="H163" t="s">
        <v>39</v>
      </c>
      <c r="I163" s="3">
        <v>41500</v>
      </c>
      <c r="J163" t="s">
        <v>49</v>
      </c>
    </row>
    <row r="164" spans="1:10" hidden="1" x14ac:dyDescent="0.2">
      <c r="A164" t="s">
        <v>21</v>
      </c>
      <c r="B164" t="s">
        <v>37</v>
      </c>
      <c r="C164">
        <v>2016</v>
      </c>
      <c r="D164" t="s">
        <v>32</v>
      </c>
      <c r="E164" t="s">
        <v>15</v>
      </c>
      <c r="F164" t="s">
        <v>16</v>
      </c>
      <c r="G164">
        <v>252</v>
      </c>
      <c r="H164" t="s">
        <v>39</v>
      </c>
      <c r="I164" s="3">
        <f>41500*1.1</f>
        <v>45650.000000000007</v>
      </c>
      <c r="J164" t="s">
        <v>49</v>
      </c>
    </row>
    <row r="165" spans="1:10" hidden="1" x14ac:dyDescent="0.2">
      <c r="A165" t="s">
        <v>21</v>
      </c>
      <c r="B165" t="s">
        <v>37</v>
      </c>
      <c r="C165">
        <v>2017</v>
      </c>
      <c r="D165" t="s">
        <v>32</v>
      </c>
      <c r="E165" t="s">
        <v>15</v>
      </c>
      <c r="F165" t="s">
        <v>16</v>
      </c>
      <c r="G165">
        <v>252</v>
      </c>
      <c r="H165" t="s">
        <v>39</v>
      </c>
      <c r="I165" s="3">
        <f t="shared" ref="I165:I166" si="36">41500*1.1</f>
        <v>45650.000000000007</v>
      </c>
      <c r="J165" t="s">
        <v>49</v>
      </c>
    </row>
    <row r="166" spans="1:10" hidden="1" x14ac:dyDescent="0.2">
      <c r="A166" t="s">
        <v>21</v>
      </c>
      <c r="B166" t="s">
        <v>37</v>
      </c>
      <c r="C166">
        <v>2018</v>
      </c>
      <c r="D166" t="s">
        <v>32</v>
      </c>
      <c r="E166" t="s">
        <v>15</v>
      </c>
      <c r="F166" t="s">
        <v>16</v>
      </c>
      <c r="G166">
        <v>252</v>
      </c>
      <c r="H166" t="s">
        <v>39</v>
      </c>
      <c r="I166" s="3">
        <f t="shared" si="36"/>
        <v>45650.000000000007</v>
      </c>
      <c r="J166" t="s">
        <v>49</v>
      </c>
    </row>
    <row r="167" spans="1:10" hidden="1" x14ac:dyDescent="0.2">
      <c r="A167" t="s">
        <v>21</v>
      </c>
      <c r="B167" t="s">
        <v>37</v>
      </c>
      <c r="C167">
        <v>2015</v>
      </c>
      <c r="D167" t="s">
        <v>24</v>
      </c>
      <c r="E167" t="s">
        <v>15</v>
      </c>
      <c r="F167" t="s">
        <v>16</v>
      </c>
      <c r="G167">
        <v>200</v>
      </c>
      <c r="H167" t="s">
        <v>40</v>
      </c>
      <c r="I167" s="3">
        <v>30000</v>
      </c>
      <c r="J167" t="s">
        <v>49</v>
      </c>
    </row>
    <row r="168" spans="1:10" hidden="1" x14ac:dyDescent="0.2">
      <c r="A168" t="s">
        <v>21</v>
      </c>
      <c r="B168" t="s">
        <v>37</v>
      </c>
      <c r="C168">
        <v>2016</v>
      </c>
      <c r="D168" t="s">
        <v>24</v>
      </c>
      <c r="E168" t="s">
        <v>15</v>
      </c>
      <c r="F168" t="s">
        <v>16</v>
      </c>
      <c r="G168">
        <v>200</v>
      </c>
      <c r="H168" t="s">
        <v>40</v>
      </c>
      <c r="I168" s="3">
        <f>I167*1.1</f>
        <v>33000</v>
      </c>
      <c r="J168" t="s">
        <v>49</v>
      </c>
    </row>
    <row r="169" spans="1:10" hidden="1" x14ac:dyDescent="0.2">
      <c r="A169" t="s">
        <v>21</v>
      </c>
      <c r="B169" t="s">
        <v>37</v>
      </c>
      <c r="C169">
        <v>2017</v>
      </c>
      <c r="D169" t="s">
        <v>24</v>
      </c>
      <c r="E169" t="s">
        <v>15</v>
      </c>
      <c r="F169" t="s">
        <v>16</v>
      </c>
      <c r="G169">
        <v>200</v>
      </c>
      <c r="H169" t="s">
        <v>40</v>
      </c>
      <c r="I169" s="3">
        <f t="shared" ref="I169:I170" si="37">I168*1.1</f>
        <v>36300</v>
      </c>
      <c r="J169" t="s">
        <v>49</v>
      </c>
    </row>
    <row r="170" spans="1:10" hidden="1" x14ac:dyDescent="0.2">
      <c r="A170" t="s">
        <v>21</v>
      </c>
      <c r="B170" t="s">
        <v>37</v>
      </c>
      <c r="C170">
        <v>2018</v>
      </c>
      <c r="D170" t="s">
        <v>24</v>
      </c>
      <c r="E170" t="s">
        <v>15</v>
      </c>
      <c r="F170" t="s">
        <v>16</v>
      </c>
      <c r="G170">
        <v>200</v>
      </c>
      <c r="H170" t="s">
        <v>40</v>
      </c>
      <c r="I170" s="3">
        <f t="shared" si="37"/>
        <v>39930</v>
      </c>
      <c r="J170" t="s">
        <v>49</v>
      </c>
    </row>
    <row r="171" spans="1:10" hidden="1" x14ac:dyDescent="0.2">
      <c r="A171" t="s">
        <v>12</v>
      </c>
      <c r="B171" t="s">
        <v>41</v>
      </c>
      <c r="C171">
        <v>2015</v>
      </c>
      <c r="D171" t="s">
        <v>14</v>
      </c>
      <c r="E171" t="s">
        <v>15</v>
      </c>
      <c r="F171" t="s">
        <v>16</v>
      </c>
      <c r="G171">
        <v>240</v>
      </c>
      <c r="H171" t="s">
        <v>30</v>
      </c>
      <c r="I171" s="3">
        <v>22050</v>
      </c>
      <c r="J171" t="s">
        <v>49</v>
      </c>
    </row>
    <row r="172" spans="1:10" hidden="1" x14ac:dyDescent="0.2">
      <c r="A172" t="s">
        <v>12</v>
      </c>
      <c r="B172" t="s">
        <v>41</v>
      </c>
      <c r="C172">
        <v>2016</v>
      </c>
      <c r="D172" t="s">
        <v>14</v>
      </c>
      <c r="E172" t="s">
        <v>15</v>
      </c>
      <c r="F172" t="s">
        <v>16</v>
      </c>
      <c r="G172">
        <v>240</v>
      </c>
      <c r="H172" t="s">
        <v>30</v>
      </c>
      <c r="I172" s="3">
        <f>I171*1.1</f>
        <v>24255.000000000004</v>
      </c>
      <c r="J172" t="s">
        <v>49</v>
      </c>
    </row>
    <row r="173" spans="1:10" hidden="1" x14ac:dyDescent="0.2">
      <c r="A173" t="s">
        <v>12</v>
      </c>
      <c r="B173" t="s">
        <v>41</v>
      </c>
      <c r="C173">
        <v>2017</v>
      </c>
      <c r="D173" t="s">
        <v>14</v>
      </c>
      <c r="E173" t="s">
        <v>15</v>
      </c>
      <c r="F173" t="s">
        <v>16</v>
      </c>
      <c r="G173">
        <v>240</v>
      </c>
      <c r="H173" t="s">
        <v>30</v>
      </c>
      <c r="I173" s="3">
        <f t="shared" ref="I173:I174" si="38">I172*1.1</f>
        <v>26680.500000000007</v>
      </c>
      <c r="J173" t="s">
        <v>49</v>
      </c>
    </row>
    <row r="174" spans="1:10" hidden="1" x14ac:dyDescent="0.2">
      <c r="A174" t="s">
        <v>12</v>
      </c>
      <c r="B174" t="s">
        <v>41</v>
      </c>
      <c r="C174">
        <v>2018</v>
      </c>
      <c r="D174" t="s">
        <v>14</v>
      </c>
      <c r="E174" t="s">
        <v>15</v>
      </c>
      <c r="F174" t="s">
        <v>16</v>
      </c>
      <c r="G174">
        <v>240</v>
      </c>
      <c r="H174" t="s">
        <v>30</v>
      </c>
      <c r="I174" s="3">
        <f t="shared" si="38"/>
        <v>29348.55000000001</v>
      </c>
      <c r="J174" t="s">
        <v>49</v>
      </c>
    </row>
    <row r="175" spans="1:10" hidden="1" x14ac:dyDescent="0.2">
      <c r="A175" t="s">
        <v>19</v>
      </c>
      <c r="B175" t="s">
        <v>41</v>
      </c>
      <c r="C175">
        <v>2015</v>
      </c>
      <c r="D175" t="s">
        <v>14</v>
      </c>
      <c r="E175" t="s">
        <v>15</v>
      </c>
      <c r="F175" t="s">
        <v>16</v>
      </c>
      <c r="G175">
        <v>320</v>
      </c>
      <c r="H175" t="s">
        <v>42</v>
      </c>
      <c r="I175" s="3">
        <v>23000</v>
      </c>
      <c r="J175" t="s">
        <v>49</v>
      </c>
    </row>
    <row r="176" spans="1:10" hidden="1" x14ac:dyDescent="0.2">
      <c r="A176" t="s">
        <v>19</v>
      </c>
      <c r="B176" t="s">
        <v>41</v>
      </c>
      <c r="C176">
        <v>2016</v>
      </c>
      <c r="D176" t="s">
        <v>14</v>
      </c>
      <c r="E176" t="s">
        <v>15</v>
      </c>
      <c r="F176" t="s">
        <v>16</v>
      </c>
      <c r="G176">
        <v>320</v>
      </c>
      <c r="H176" t="s">
        <v>42</v>
      </c>
      <c r="I176" s="3">
        <f>I175*1.1</f>
        <v>25300.000000000004</v>
      </c>
      <c r="J176" t="s">
        <v>49</v>
      </c>
    </row>
    <row r="177" spans="1:10" hidden="1" x14ac:dyDescent="0.2">
      <c r="A177" t="s">
        <v>19</v>
      </c>
      <c r="B177" t="s">
        <v>41</v>
      </c>
      <c r="C177">
        <v>2017</v>
      </c>
      <c r="D177" t="s">
        <v>14</v>
      </c>
      <c r="E177" t="s">
        <v>15</v>
      </c>
      <c r="F177" t="s">
        <v>16</v>
      </c>
      <c r="G177">
        <v>320</v>
      </c>
      <c r="H177" t="s">
        <v>42</v>
      </c>
      <c r="I177" s="3">
        <f t="shared" ref="I177:I178" si="39">I176*1.1</f>
        <v>27830.000000000007</v>
      </c>
      <c r="J177" t="s">
        <v>49</v>
      </c>
    </row>
    <row r="178" spans="1:10" hidden="1" x14ac:dyDescent="0.2">
      <c r="A178" t="s">
        <v>19</v>
      </c>
      <c r="B178" t="s">
        <v>41</v>
      </c>
      <c r="C178">
        <v>2018</v>
      </c>
      <c r="D178" t="s">
        <v>14</v>
      </c>
      <c r="E178" t="s">
        <v>15</v>
      </c>
      <c r="F178" t="s">
        <v>16</v>
      </c>
      <c r="G178">
        <v>320</v>
      </c>
      <c r="H178" t="s">
        <v>42</v>
      </c>
      <c r="I178" s="3">
        <f t="shared" si="39"/>
        <v>30613.000000000011</v>
      </c>
      <c r="J178" t="s">
        <v>49</v>
      </c>
    </row>
    <row r="179" spans="1:10" hidden="1" x14ac:dyDescent="0.2">
      <c r="A179" t="s">
        <v>21</v>
      </c>
      <c r="B179" t="s">
        <v>41</v>
      </c>
      <c r="C179">
        <v>2015</v>
      </c>
      <c r="D179" t="s">
        <v>14</v>
      </c>
      <c r="E179" t="s">
        <v>15</v>
      </c>
      <c r="F179" t="s">
        <v>16</v>
      </c>
      <c r="G179">
        <v>260</v>
      </c>
      <c r="H179" t="s">
        <v>43</v>
      </c>
      <c r="I179" s="3">
        <v>26000</v>
      </c>
      <c r="J179" t="s">
        <v>49</v>
      </c>
    </row>
    <row r="180" spans="1:10" hidden="1" x14ac:dyDescent="0.2">
      <c r="A180" t="s">
        <v>21</v>
      </c>
      <c r="B180" t="s">
        <v>41</v>
      </c>
      <c r="C180">
        <v>2016</v>
      </c>
      <c r="D180" t="s">
        <v>14</v>
      </c>
      <c r="E180" t="s">
        <v>15</v>
      </c>
      <c r="F180" t="s">
        <v>16</v>
      </c>
      <c r="G180">
        <v>260</v>
      </c>
      <c r="H180" t="s">
        <v>43</v>
      </c>
      <c r="I180" s="3">
        <f>I179*1.1</f>
        <v>28600.000000000004</v>
      </c>
      <c r="J180" t="s">
        <v>49</v>
      </c>
    </row>
    <row r="181" spans="1:10" hidden="1" x14ac:dyDescent="0.2">
      <c r="A181" t="s">
        <v>21</v>
      </c>
      <c r="B181" t="s">
        <v>41</v>
      </c>
      <c r="C181">
        <v>2017</v>
      </c>
      <c r="D181" t="s">
        <v>14</v>
      </c>
      <c r="E181" t="s">
        <v>15</v>
      </c>
      <c r="F181" t="s">
        <v>16</v>
      </c>
      <c r="G181">
        <v>260</v>
      </c>
      <c r="H181" t="s">
        <v>43</v>
      </c>
      <c r="I181" s="3">
        <f t="shared" ref="I181:I182" si="40">I180*1.1</f>
        <v>31460.000000000007</v>
      </c>
      <c r="J181" t="s">
        <v>49</v>
      </c>
    </row>
    <row r="182" spans="1:10" hidden="1" x14ac:dyDescent="0.2">
      <c r="A182" t="s">
        <v>21</v>
      </c>
      <c r="B182" t="s">
        <v>41</v>
      </c>
      <c r="C182">
        <v>2018</v>
      </c>
      <c r="D182" t="s">
        <v>14</v>
      </c>
      <c r="E182" t="s">
        <v>15</v>
      </c>
      <c r="F182" t="s">
        <v>16</v>
      </c>
      <c r="G182">
        <v>260</v>
      </c>
      <c r="H182" t="s">
        <v>43</v>
      </c>
      <c r="I182" s="3">
        <f t="shared" si="40"/>
        <v>34606.000000000007</v>
      </c>
      <c r="J182" t="s">
        <v>49</v>
      </c>
    </row>
    <row r="183" spans="1:10" hidden="1" x14ac:dyDescent="0.2">
      <c r="A183" t="s">
        <v>23</v>
      </c>
      <c r="B183" t="s">
        <v>41</v>
      </c>
      <c r="C183">
        <v>2015</v>
      </c>
      <c r="D183" t="s">
        <v>24</v>
      </c>
      <c r="E183" t="s">
        <v>15</v>
      </c>
      <c r="F183" t="s">
        <v>16</v>
      </c>
      <c r="G183">
        <v>130</v>
      </c>
      <c r="H183" t="s">
        <v>44</v>
      </c>
      <c r="I183" s="3">
        <v>14995</v>
      </c>
      <c r="J183" t="s">
        <v>49</v>
      </c>
    </row>
    <row r="184" spans="1:10" hidden="1" x14ac:dyDescent="0.2">
      <c r="A184" t="s">
        <v>23</v>
      </c>
      <c r="B184" t="s">
        <v>41</v>
      </c>
      <c r="C184">
        <v>2016</v>
      </c>
      <c r="D184" t="s">
        <v>24</v>
      </c>
      <c r="E184" t="s">
        <v>15</v>
      </c>
      <c r="F184" t="s">
        <v>16</v>
      </c>
      <c r="G184">
        <v>130</v>
      </c>
      <c r="H184" t="s">
        <v>44</v>
      </c>
      <c r="I184" s="3">
        <f>I183*1.1</f>
        <v>16494.5</v>
      </c>
      <c r="J184" t="s">
        <v>49</v>
      </c>
    </row>
    <row r="185" spans="1:10" hidden="1" x14ac:dyDescent="0.2">
      <c r="A185" t="s">
        <v>23</v>
      </c>
      <c r="B185" t="s">
        <v>41</v>
      </c>
      <c r="C185">
        <v>2017</v>
      </c>
      <c r="D185" t="s">
        <v>24</v>
      </c>
      <c r="E185" t="s">
        <v>15</v>
      </c>
      <c r="F185" t="s">
        <v>16</v>
      </c>
      <c r="G185">
        <v>130</v>
      </c>
      <c r="H185" t="s">
        <v>44</v>
      </c>
      <c r="I185" s="3">
        <f t="shared" ref="I185:I186" si="41">I184*1.1</f>
        <v>18143.95</v>
      </c>
      <c r="J185" t="s">
        <v>49</v>
      </c>
    </row>
    <row r="186" spans="1:10" hidden="1" x14ac:dyDescent="0.2">
      <c r="A186" t="s">
        <v>23</v>
      </c>
      <c r="B186" t="s">
        <v>41</v>
      </c>
      <c r="C186">
        <v>2018</v>
      </c>
      <c r="D186" t="s">
        <v>24</v>
      </c>
      <c r="E186" t="s">
        <v>15</v>
      </c>
      <c r="F186" t="s">
        <v>16</v>
      </c>
      <c r="G186">
        <v>130</v>
      </c>
      <c r="H186" t="s">
        <v>44</v>
      </c>
      <c r="I186" s="3">
        <f t="shared" si="41"/>
        <v>19958.345000000001</v>
      </c>
      <c r="J186" t="s">
        <v>49</v>
      </c>
    </row>
    <row r="187" spans="1:10" hidden="1" x14ac:dyDescent="0.2">
      <c r="A187" t="s">
        <v>12</v>
      </c>
      <c r="B187" t="s">
        <v>45</v>
      </c>
      <c r="C187">
        <v>2015</v>
      </c>
      <c r="D187" t="s">
        <v>32</v>
      </c>
      <c r="E187" t="s">
        <v>15</v>
      </c>
      <c r="F187" t="s">
        <v>16</v>
      </c>
      <c r="G187">
        <v>275</v>
      </c>
      <c r="H187" t="s">
        <v>46</v>
      </c>
      <c r="I187" s="3">
        <v>38210</v>
      </c>
      <c r="J187" t="s">
        <v>49</v>
      </c>
    </row>
    <row r="188" spans="1:10" hidden="1" x14ac:dyDescent="0.2">
      <c r="A188" t="s">
        <v>12</v>
      </c>
      <c r="B188" t="s">
        <v>45</v>
      </c>
      <c r="C188">
        <v>2016</v>
      </c>
      <c r="D188" t="s">
        <v>32</v>
      </c>
      <c r="E188" t="s">
        <v>15</v>
      </c>
      <c r="F188" t="s">
        <v>16</v>
      </c>
      <c r="G188">
        <v>275</v>
      </c>
      <c r="H188" t="s">
        <v>46</v>
      </c>
      <c r="I188" s="3">
        <f>I187*1.1</f>
        <v>42031</v>
      </c>
      <c r="J188" t="s">
        <v>49</v>
      </c>
    </row>
    <row r="189" spans="1:10" hidden="1" x14ac:dyDescent="0.2">
      <c r="A189" t="s">
        <v>12</v>
      </c>
      <c r="B189" t="s">
        <v>45</v>
      </c>
      <c r="C189">
        <v>2017</v>
      </c>
      <c r="D189" t="s">
        <v>32</v>
      </c>
      <c r="E189" t="s">
        <v>15</v>
      </c>
      <c r="F189" t="s">
        <v>16</v>
      </c>
      <c r="G189">
        <v>275</v>
      </c>
      <c r="H189" t="s">
        <v>46</v>
      </c>
      <c r="I189" s="3">
        <f t="shared" ref="I189:I190" si="42">I188*1.1</f>
        <v>46234.100000000006</v>
      </c>
      <c r="J189" t="s">
        <v>49</v>
      </c>
    </row>
    <row r="190" spans="1:10" hidden="1" x14ac:dyDescent="0.2">
      <c r="A190" t="s">
        <v>12</v>
      </c>
      <c r="B190" t="s">
        <v>45</v>
      </c>
      <c r="C190">
        <v>2018</v>
      </c>
      <c r="D190" t="s">
        <v>32</v>
      </c>
      <c r="E190" t="s">
        <v>15</v>
      </c>
      <c r="F190" t="s">
        <v>16</v>
      </c>
      <c r="G190">
        <v>275</v>
      </c>
      <c r="H190" t="s">
        <v>46</v>
      </c>
      <c r="I190" s="3">
        <f t="shared" si="42"/>
        <v>50857.510000000009</v>
      </c>
      <c r="J190" t="s">
        <v>49</v>
      </c>
    </row>
    <row r="191" spans="1:10" hidden="1" x14ac:dyDescent="0.2">
      <c r="A191" t="s">
        <v>19</v>
      </c>
      <c r="B191" t="s">
        <v>45</v>
      </c>
      <c r="C191">
        <v>2015</v>
      </c>
      <c r="D191" t="s">
        <v>32</v>
      </c>
      <c r="E191" t="s">
        <v>15</v>
      </c>
      <c r="F191" t="s">
        <v>16</v>
      </c>
      <c r="G191">
        <v>350</v>
      </c>
      <c r="H191" t="s">
        <v>46</v>
      </c>
      <c r="I191" s="3">
        <v>40640</v>
      </c>
      <c r="J191" t="s">
        <v>49</v>
      </c>
    </row>
    <row r="192" spans="1:10" hidden="1" x14ac:dyDescent="0.2">
      <c r="A192" t="s">
        <v>19</v>
      </c>
      <c r="B192" t="s">
        <v>45</v>
      </c>
      <c r="C192">
        <v>2016</v>
      </c>
      <c r="D192" t="s">
        <v>32</v>
      </c>
      <c r="E192" t="s">
        <v>15</v>
      </c>
      <c r="F192" t="s">
        <v>16</v>
      </c>
      <c r="G192">
        <v>350</v>
      </c>
      <c r="H192" t="s">
        <v>46</v>
      </c>
      <c r="I192" s="3">
        <f>I191*1.06</f>
        <v>43078.400000000001</v>
      </c>
      <c r="J192" t="s">
        <v>49</v>
      </c>
    </row>
    <row r="193" spans="1:10" hidden="1" x14ac:dyDescent="0.2">
      <c r="A193" t="s">
        <v>19</v>
      </c>
      <c r="B193" t="s">
        <v>45</v>
      </c>
      <c r="C193">
        <v>2017</v>
      </c>
      <c r="D193" t="s">
        <v>32</v>
      </c>
      <c r="E193" t="s">
        <v>15</v>
      </c>
      <c r="F193" t="s">
        <v>16</v>
      </c>
      <c r="G193">
        <v>350</v>
      </c>
      <c r="H193" t="s">
        <v>46</v>
      </c>
      <c r="I193" s="3">
        <f t="shared" ref="I193:I194" si="43">I192*1.06</f>
        <v>45663.104000000007</v>
      </c>
      <c r="J193" t="s">
        <v>49</v>
      </c>
    </row>
    <row r="194" spans="1:10" hidden="1" x14ac:dyDescent="0.2">
      <c r="A194" t="s">
        <v>19</v>
      </c>
      <c r="B194" t="s">
        <v>45</v>
      </c>
      <c r="C194">
        <v>2018</v>
      </c>
      <c r="D194" t="s">
        <v>32</v>
      </c>
      <c r="E194" t="s">
        <v>15</v>
      </c>
      <c r="F194" t="s">
        <v>16</v>
      </c>
      <c r="G194">
        <v>350</v>
      </c>
      <c r="H194" t="s">
        <v>46</v>
      </c>
      <c r="I194" s="3">
        <f t="shared" si="43"/>
        <v>48402.890240000008</v>
      </c>
      <c r="J194" t="s">
        <v>49</v>
      </c>
    </row>
    <row r="195" spans="1:10" hidden="1" x14ac:dyDescent="0.2">
      <c r="A195" t="s">
        <v>21</v>
      </c>
      <c r="B195" t="s">
        <v>45</v>
      </c>
      <c r="C195">
        <v>2015</v>
      </c>
      <c r="D195" t="s">
        <v>32</v>
      </c>
      <c r="E195" t="s">
        <v>15</v>
      </c>
      <c r="F195" t="s">
        <v>16</v>
      </c>
      <c r="G195">
        <v>295</v>
      </c>
      <c r="H195" t="s">
        <v>47</v>
      </c>
      <c r="I195" s="3">
        <v>43270</v>
      </c>
      <c r="J195" t="s">
        <v>49</v>
      </c>
    </row>
    <row r="196" spans="1:10" hidden="1" x14ac:dyDescent="0.2">
      <c r="A196" t="s">
        <v>21</v>
      </c>
      <c r="B196" t="s">
        <v>45</v>
      </c>
      <c r="C196">
        <v>2016</v>
      </c>
      <c r="D196" t="s">
        <v>32</v>
      </c>
      <c r="E196" t="s">
        <v>15</v>
      </c>
      <c r="F196" t="s">
        <v>16</v>
      </c>
      <c r="G196">
        <v>295</v>
      </c>
      <c r="H196" t="s">
        <v>47</v>
      </c>
      <c r="I196" s="3">
        <f>I195*1.06</f>
        <v>45866.200000000004</v>
      </c>
      <c r="J196" t="s">
        <v>49</v>
      </c>
    </row>
    <row r="197" spans="1:10" hidden="1" x14ac:dyDescent="0.2">
      <c r="A197" t="s">
        <v>21</v>
      </c>
      <c r="B197" t="s">
        <v>45</v>
      </c>
      <c r="C197">
        <v>2017</v>
      </c>
      <c r="D197" t="s">
        <v>32</v>
      </c>
      <c r="E197" t="s">
        <v>15</v>
      </c>
      <c r="F197" t="s">
        <v>16</v>
      </c>
      <c r="G197">
        <v>295</v>
      </c>
      <c r="H197" t="s">
        <v>47</v>
      </c>
      <c r="I197" s="3">
        <f t="shared" ref="I197:I198" si="44">I196*1.06</f>
        <v>48618.172000000006</v>
      </c>
      <c r="J197" t="s">
        <v>49</v>
      </c>
    </row>
    <row r="198" spans="1:10" hidden="1" x14ac:dyDescent="0.2">
      <c r="A198" t="s">
        <v>21</v>
      </c>
      <c r="B198" t="s">
        <v>45</v>
      </c>
      <c r="C198">
        <v>2018</v>
      </c>
      <c r="D198" t="s">
        <v>32</v>
      </c>
      <c r="E198" t="s">
        <v>15</v>
      </c>
      <c r="F198" t="s">
        <v>16</v>
      </c>
      <c r="G198">
        <v>295</v>
      </c>
      <c r="H198" t="s">
        <v>47</v>
      </c>
      <c r="I198" s="3">
        <f t="shared" si="44"/>
        <v>51535.262320000009</v>
      </c>
      <c r="J198" t="s">
        <v>49</v>
      </c>
    </row>
    <row r="199" spans="1:10" hidden="1" x14ac:dyDescent="0.2">
      <c r="A199" t="s">
        <v>23</v>
      </c>
      <c r="B199" t="s">
        <v>45</v>
      </c>
      <c r="C199">
        <v>2015</v>
      </c>
      <c r="D199" t="s">
        <v>24</v>
      </c>
      <c r="E199" t="s">
        <v>15</v>
      </c>
      <c r="F199" t="s">
        <v>16</v>
      </c>
      <c r="G199">
        <v>134</v>
      </c>
      <c r="H199" t="s">
        <v>48</v>
      </c>
      <c r="I199" s="3">
        <v>31250</v>
      </c>
      <c r="J199" t="s">
        <v>49</v>
      </c>
    </row>
    <row r="200" spans="1:10" hidden="1" x14ac:dyDescent="0.2">
      <c r="A200" t="s">
        <v>23</v>
      </c>
      <c r="B200" t="s">
        <v>45</v>
      </c>
      <c r="C200">
        <v>2016</v>
      </c>
      <c r="D200" t="s">
        <v>24</v>
      </c>
      <c r="E200" t="s">
        <v>15</v>
      </c>
      <c r="F200" t="s">
        <v>16</v>
      </c>
      <c r="G200">
        <v>134</v>
      </c>
      <c r="H200" t="s">
        <v>48</v>
      </c>
      <c r="I200" s="3">
        <f>I199*1.05</f>
        <v>32812.5</v>
      </c>
      <c r="J200" t="s">
        <v>49</v>
      </c>
    </row>
    <row r="201" spans="1:10" hidden="1" x14ac:dyDescent="0.2">
      <c r="A201" t="s">
        <v>23</v>
      </c>
      <c r="B201" t="s">
        <v>45</v>
      </c>
      <c r="C201">
        <v>2017</v>
      </c>
      <c r="D201" t="s">
        <v>24</v>
      </c>
      <c r="E201" t="s">
        <v>15</v>
      </c>
      <c r="F201" t="s">
        <v>16</v>
      </c>
      <c r="G201">
        <v>134</v>
      </c>
      <c r="H201" t="s">
        <v>48</v>
      </c>
      <c r="I201" s="3">
        <f t="shared" ref="I201:I202" si="45">I200*1.05</f>
        <v>34453.125</v>
      </c>
      <c r="J201" t="s">
        <v>49</v>
      </c>
    </row>
    <row r="202" spans="1:10" hidden="1" x14ac:dyDescent="0.2">
      <c r="A202" t="s">
        <v>23</v>
      </c>
      <c r="B202" t="s">
        <v>45</v>
      </c>
      <c r="C202">
        <v>2018</v>
      </c>
      <c r="D202" t="s">
        <v>24</v>
      </c>
      <c r="E202" t="s">
        <v>15</v>
      </c>
      <c r="F202" t="s">
        <v>16</v>
      </c>
      <c r="G202">
        <v>134</v>
      </c>
      <c r="H202" t="s">
        <v>48</v>
      </c>
      <c r="I202" s="3">
        <f t="shared" si="45"/>
        <v>36175.78125</v>
      </c>
      <c r="J202" t="s">
        <v>49</v>
      </c>
    </row>
    <row r="203" spans="1:10" hidden="1" x14ac:dyDescent="0.2">
      <c r="A203" t="s">
        <v>12</v>
      </c>
      <c r="B203" t="s">
        <v>13</v>
      </c>
      <c r="C203">
        <v>2015</v>
      </c>
      <c r="D203" t="s">
        <v>14</v>
      </c>
      <c r="E203" t="s">
        <v>15</v>
      </c>
      <c r="F203" t="s">
        <v>16</v>
      </c>
      <c r="G203">
        <v>177</v>
      </c>
      <c r="H203" t="s">
        <v>17</v>
      </c>
      <c r="I203" s="3">
        <v>17950</v>
      </c>
      <c r="J203" t="s">
        <v>51</v>
      </c>
    </row>
    <row r="204" spans="1:10" hidden="1" x14ac:dyDescent="0.2">
      <c r="A204" t="s">
        <v>12</v>
      </c>
      <c r="B204" t="s">
        <v>13</v>
      </c>
      <c r="C204">
        <v>2016</v>
      </c>
      <c r="D204" t="s">
        <v>14</v>
      </c>
      <c r="E204" t="s">
        <v>15</v>
      </c>
      <c r="F204" t="s">
        <v>16</v>
      </c>
      <c r="G204">
        <v>177</v>
      </c>
      <c r="H204" t="s">
        <v>17</v>
      </c>
      <c r="I204" s="3">
        <f>I203*1.1</f>
        <v>19745</v>
      </c>
      <c r="J204" t="s">
        <v>51</v>
      </c>
    </row>
    <row r="205" spans="1:10" hidden="1" x14ac:dyDescent="0.2">
      <c r="A205" t="s">
        <v>12</v>
      </c>
      <c r="B205" t="s">
        <v>13</v>
      </c>
      <c r="C205">
        <v>2017</v>
      </c>
      <c r="D205" t="s">
        <v>14</v>
      </c>
      <c r="E205" t="s">
        <v>15</v>
      </c>
      <c r="F205" t="s">
        <v>16</v>
      </c>
      <c r="G205">
        <v>177</v>
      </c>
      <c r="H205" t="s">
        <v>17</v>
      </c>
      <c r="I205" s="3">
        <f t="shared" ref="I205:I206" si="46">I204*1.1</f>
        <v>21719.5</v>
      </c>
      <c r="J205" t="s">
        <v>51</v>
      </c>
    </row>
    <row r="206" spans="1:10" hidden="1" x14ac:dyDescent="0.2">
      <c r="A206" t="s">
        <v>12</v>
      </c>
      <c r="B206" t="s">
        <v>13</v>
      </c>
      <c r="C206">
        <v>2018</v>
      </c>
      <c r="D206" t="s">
        <v>14</v>
      </c>
      <c r="E206" t="s">
        <v>15</v>
      </c>
      <c r="F206" t="s">
        <v>16</v>
      </c>
      <c r="G206">
        <v>177</v>
      </c>
      <c r="H206" t="s">
        <v>17</v>
      </c>
      <c r="I206" s="3">
        <f t="shared" si="46"/>
        <v>23891.45</v>
      </c>
      <c r="J206" t="s">
        <v>51</v>
      </c>
    </row>
    <row r="207" spans="1:10" hidden="1" x14ac:dyDescent="0.2">
      <c r="A207" t="s">
        <v>19</v>
      </c>
      <c r="B207" t="s">
        <v>13</v>
      </c>
      <c r="C207">
        <v>2015</v>
      </c>
      <c r="D207" t="s">
        <v>14</v>
      </c>
      <c r="E207" t="s">
        <v>15</v>
      </c>
      <c r="F207" t="s">
        <v>16</v>
      </c>
      <c r="G207">
        <v>350</v>
      </c>
      <c r="H207" t="s">
        <v>20</v>
      </c>
      <c r="I207" s="3">
        <v>25680</v>
      </c>
      <c r="J207" t="s">
        <v>51</v>
      </c>
    </row>
    <row r="208" spans="1:10" hidden="1" x14ac:dyDescent="0.2">
      <c r="A208" t="s">
        <v>19</v>
      </c>
      <c r="B208" t="s">
        <v>13</v>
      </c>
      <c r="C208">
        <v>2016</v>
      </c>
      <c r="D208" t="s">
        <v>14</v>
      </c>
      <c r="E208" t="s">
        <v>15</v>
      </c>
      <c r="F208" t="s">
        <v>16</v>
      </c>
      <c r="G208">
        <v>350</v>
      </c>
      <c r="H208" t="s">
        <v>20</v>
      </c>
      <c r="I208" s="3">
        <f>I207*1.1</f>
        <v>28248.000000000004</v>
      </c>
      <c r="J208" t="s">
        <v>51</v>
      </c>
    </row>
    <row r="209" spans="1:10" hidden="1" x14ac:dyDescent="0.2">
      <c r="A209" t="s">
        <v>19</v>
      </c>
      <c r="B209" t="s">
        <v>13</v>
      </c>
      <c r="C209">
        <v>2017</v>
      </c>
      <c r="D209" t="s">
        <v>14</v>
      </c>
      <c r="E209" t="s">
        <v>15</v>
      </c>
      <c r="F209" t="s">
        <v>16</v>
      </c>
      <c r="G209">
        <v>350</v>
      </c>
      <c r="H209" t="s">
        <v>20</v>
      </c>
      <c r="I209" s="3">
        <f t="shared" ref="I209" si="47">I208*1.1</f>
        <v>31072.800000000007</v>
      </c>
      <c r="J209" t="s">
        <v>51</v>
      </c>
    </row>
    <row r="210" spans="1:10" hidden="1" x14ac:dyDescent="0.2">
      <c r="A210" t="s">
        <v>19</v>
      </c>
      <c r="B210" t="s">
        <v>13</v>
      </c>
      <c r="C210">
        <v>2018</v>
      </c>
      <c r="D210" t="s">
        <v>14</v>
      </c>
      <c r="E210" t="s">
        <v>15</v>
      </c>
      <c r="F210" t="s">
        <v>16</v>
      </c>
      <c r="G210">
        <v>350</v>
      </c>
      <c r="H210" t="s">
        <v>20</v>
      </c>
      <c r="I210" s="3">
        <f>I209*1.1</f>
        <v>34180.080000000009</v>
      </c>
      <c r="J210" t="s">
        <v>51</v>
      </c>
    </row>
    <row r="211" spans="1:10" hidden="1" x14ac:dyDescent="0.2">
      <c r="A211" t="s">
        <v>21</v>
      </c>
      <c r="B211" t="s">
        <v>13</v>
      </c>
      <c r="C211">
        <v>2015</v>
      </c>
      <c r="D211" t="s">
        <v>14</v>
      </c>
      <c r="E211" t="s">
        <v>15</v>
      </c>
      <c r="F211" t="s">
        <v>16</v>
      </c>
      <c r="G211">
        <v>245</v>
      </c>
      <c r="H211" t="s">
        <v>22</v>
      </c>
      <c r="I211" s="3">
        <v>29315</v>
      </c>
      <c r="J211" t="s">
        <v>51</v>
      </c>
    </row>
    <row r="212" spans="1:10" hidden="1" x14ac:dyDescent="0.2">
      <c r="A212" t="s">
        <v>21</v>
      </c>
      <c r="B212" t="s">
        <v>13</v>
      </c>
      <c r="C212">
        <v>2016</v>
      </c>
      <c r="D212" t="s">
        <v>14</v>
      </c>
      <c r="E212" t="s">
        <v>15</v>
      </c>
      <c r="F212" t="s">
        <v>16</v>
      </c>
      <c r="G212">
        <v>245</v>
      </c>
      <c r="H212" t="s">
        <v>22</v>
      </c>
      <c r="I212" s="3">
        <f>I211*1.1</f>
        <v>32246.500000000004</v>
      </c>
      <c r="J212" t="s">
        <v>51</v>
      </c>
    </row>
    <row r="213" spans="1:10" hidden="1" x14ac:dyDescent="0.2">
      <c r="A213" t="s">
        <v>21</v>
      </c>
      <c r="B213" t="s">
        <v>13</v>
      </c>
      <c r="C213">
        <v>2017</v>
      </c>
      <c r="D213" t="s">
        <v>14</v>
      </c>
      <c r="E213" t="s">
        <v>15</v>
      </c>
      <c r="F213" t="s">
        <v>16</v>
      </c>
      <c r="G213">
        <v>245</v>
      </c>
      <c r="H213" t="s">
        <v>22</v>
      </c>
      <c r="I213" s="3">
        <f t="shared" ref="I213:I214" si="48">I212*1.1</f>
        <v>35471.150000000009</v>
      </c>
      <c r="J213" t="s">
        <v>51</v>
      </c>
    </row>
    <row r="214" spans="1:10" hidden="1" x14ac:dyDescent="0.2">
      <c r="A214" t="s">
        <v>21</v>
      </c>
      <c r="B214" t="s">
        <v>13</v>
      </c>
      <c r="C214">
        <v>2018</v>
      </c>
      <c r="D214" t="s">
        <v>14</v>
      </c>
      <c r="E214" t="s">
        <v>15</v>
      </c>
      <c r="F214" t="s">
        <v>16</v>
      </c>
      <c r="G214">
        <v>245</v>
      </c>
      <c r="H214" t="s">
        <v>22</v>
      </c>
      <c r="I214" s="3">
        <f t="shared" si="48"/>
        <v>39018.265000000014</v>
      </c>
      <c r="J214" t="s">
        <v>51</v>
      </c>
    </row>
    <row r="215" spans="1:10" hidden="1" x14ac:dyDescent="0.2">
      <c r="A215" t="s">
        <v>23</v>
      </c>
      <c r="B215" t="s">
        <v>13</v>
      </c>
      <c r="C215">
        <v>2015</v>
      </c>
      <c r="D215" t="s">
        <v>24</v>
      </c>
      <c r="E215" t="s">
        <v>15</v>
      </c>
      <c r="F215" t="s">
        <v>16</v>
      </c>
      <c r="G215">
        <v>185</v>
      </c>
      <c r="H215" t="s">
        <v>25</v>
      </c>
      <c r="I215" s="3">
        <v>17950</v>
      </c>
      <c r="J215" t="s">
        <v>51</v>
      </c>
    </row>
    <row r="216" spans="1:10" hidden="1" x14ac:dyDescent="0.2">
      <c r="A216" t="s">
        <v>23</v>
      </c>
      <c r="B216" t="s">
        <v>13</v>
      </c>
      <c r="C216">
        <v>2016</v>
      </c>
      <c r="D216" t="s">
        <v>24</v>
      </c>
      <c r="E216" t="s">
        <v>15</v>
      </c>
      <c r="F216" t="s">
        <v>16</v>
      </c>
      <c r="G216">
        <v>185</v>
      </c>
      <c r="H216" t="s">
        <v>25</v>
      </c>
      <c r="I216" s="3">
        <f>I215*1.1</f>
        <v>19745</v>
      </c>
      <c r="J216" t="s">
        <v>51</v>
      </c>
    </row>
    <row r="217" spans="1:10" hidden="1" x14ac:dyDescent="0.2">
      <c r="A217" t="s">
        <v>23</v>
      </c>
      <c r="B217" t="s">
        <v>13</v>
      </c>
      <c r="C217">
        <v>2017</v>
      </c>
      <c r="D217" t="s">
        <v>24</v>
      </c>
      <c r="E217" t="s">
        <v>15</v>
      </c>
      <c r="F217" t="s">
        <v>16</v>
      </c>
      <c r="G217">
        <v>185</v>
      </c>
      <c r="H217" t="s">
        <v>25</v>
      </c>
      <c r="I217" s="3">
        <f t="shared" ref="I217:I218" si="49">I216*1.1</f>
        <v>21719.5</v>
      </c>
      <c r="J217" t="s">
        <v>51</v>
      </c>
    </row>
    <row r="218" spans="1:10" hidden="1" x14ac:dyDescent="0.2">
      <c r="A218" t="s">
        <v>23</v>
      </c>
      <c r="B218" t="s">
        <v>13</v>
      </c>
      <c r="C218">
        <v>2018</v>
      </c>
      <c r="D218" t="s">
        <v>24</v>
      </c>
      <c r="E218" t="s">
        <v>15</v>
      </c>
      <c r="F218" t="s">
        <v>16</v>
      </c>
      <c r="G218">
        <v>185</v>
      </c>
      <c r="H218" t="s">
        <v>25</v>
      </c>
      <c r="I218" s="3">
        <f t="shared" si="49"/>
        <v>23891.45</v>
      </c>
      <c r="J218" t="s">
        <v>51</v>
      </c>
    </row>
    <row r="219" spans="1:10" hidden="1" x14ac:dyDescent="0.2">
      <c r="A219" t="s">
        <v>12</v>
      </c>
      <c r="B219" t="s">
        <v>26</v>
      </c>
      <c r="C219">
        <v>2015</v>
      </c>
      <c r="D219" t="s">
        <v>14</v>
      </c>
      <c r="E219" t="s">
        <v>15</v>
      </c>
      <c r="F219" t="s">
        <v>16</v>
      </c>
      <c r="G219">
        <v>266</v>
      </c>
      <c r="H219" t="s">
        <v>27</v>
      </c>
      <c r="I219" s="3">
        <v>27895</v>
      </c>
      <c r="J219" t="s">
        <v>51</v>
      </c>
    </row>
    <row r="220" spans="1:10" hidden="1" x14ac:dyDescent="0.2">
      <c r="A220" t="s">
        <v>12</v>
      </c>
      <c r="B220" t="s">
        <v>26</v>
      </c>
      <c r="C220">
        <v>2016</v>
      </c>
      <c r="D220" t="s">
        <v>14</v>
      </c>
      <c r="E220" t="s">
        <v>15</v>
      </c>
      <c r="F220" t="s">
        <v>16</v>
      </c>
      <c r="G220">
        <v>266</v>
      </c>
      <c r="H220" t="s">
        <v>27</v>
      </c>
      <c r="I220" s="3">
        <f>I219*1.1</f>
        <v>30684.500000000004</v>
      </c>
      <c r="J220" t="s">
        <v>51</v>
      </c>
    </row>
    <row r="221" spans="1:10" hidden="1" x14ac:dyDescent="0.2">
      <c r="A221" t="s">
        <v>12</v>
      </c>
      <c r="B221" t="s">
        <v>26</v>
      </c>
      <c r="C221">
        <v>2017</v>
      </c>
      <c r="D221" t="s">
        <v>14</v>
      </c>
      <c r="E221" t="s">
        <v>15</v>
      </c>
      <c r="F221" t="s">
        <v>16</v>
      </c>
      <c r="G221">
        <v>266</v>
      </c>
      <c r="H221" t="s">
        <v>27</v>
      </c>
      <c r="I221" s="3">
        <f t="shared" ref="I221:I222" si="50">I220*1.1</f>
        <v>33752.950000000004</v>
      </c>
      <c r="J221" t="s">
        <v>51</v>
      </c>
    </row>
    <row r="222" spans="1:10" hidden="1" x14ac:dyDescent="0.2">
      <c r="A222" t="s">
        <v>12</v>
      </c>
      <c r="B222" t="s">
        <v>26</v>
      </c>
      <c r="C222">
        <v>2018</v>
      </c>
      <c r="D222" t="s">
        <v>14</v>
      </c>
      <c r="E222" t="s">
        <v>15</v>
      </c>
      <c r="F222" t="s">
        <v>16</v>
      </c>
      <c r="G222">
        <v>266</v>
      </c>
      <c r="H222" t="s">
        <v>27</v>
      </c>
      <c r="I222" s="3">
        <f t="shared" si="50"/>
        <v>37128.24500000001</v>
      </c>
      <c r="J222" t="s">
        <v>51</v>
      </c>
    </row>
    <row r="223" spans="1:10" x14ac:dyDescent="0.2">
      <c r="A223" t="s">
        <v>19</v>
      </c>
      <c r="B223" t="s">
        <v>26</v>
      </c>
      <c r="C223">
        <v>2015</v>
      </c>
      <c r="D223" t="s">
        <v>14</v>
      </c>
      <c r="E223" t="s">
        <v>15</v>
      </c>
      <c r="F223" t="s">
        <v>16</v>
      </c>
      <c r="G223">
        <v>350</v>
      </c>
      <c r="H223" t="s">
        <v>28</v>
      </c>
      <c r="I223" s="3">
        <v>27000</v>
      </c>
      <c r="J223" t="s">
        <v>51</v>
      </c>
    </row>
    <row r="224" spans="1:10" x14ac:dyDescent="0.2">
      <c r="A224" t="s">
        <v>19</v>
      </c>
      <c r="B224" t="s">
        <v>26</v>
      </c>
      <c r="C224">
        <v>2016</v>
      </c>
      <c r="D224" t="s">
        <v>14</v>
      </c>
      <c r="E224" t="s">
        <v>15</v>
      </c>
      <c r="F224" t="s">
        <v>16</v>
      </c>
      <c r="G224">
        <v>350</v>
      </c>
      <c r="H224" t="s">
        <v>28</v>
      </c>
      <c r="I224" s="3">
        <f>I223*1.05</f>
        <v>28350</v>
      </c>
      <c r="J224" t="s">
        <v>51</v>
      </c>
    </row>
    <row r="225" spans="1:10" x14ac:dyDescent="0.2">
      <c r="A225" t="s">
        <v>19</v>
      </c>
      <c r="B225" t="s">
        <v>26</v>
      </c>
      <c r="C225">
        <v>2017</v>
      </c>
      <c r="D225" t="s">
        <v>14</v>
      </c>
      <c r="E225" t="s">
        <v>15</v>
      </c>
      <c r="F225" t="s">
        <v>16</v>
      </c>
      <c r="G225">
        <v>350</v>
      </c>
      <c r="H225" t="s">
        <v>28</v>
      </c>
      <c r="I225" s="3">
        <f t="shared" ref="I225:I226" si="51">I224*1.05</f>
        <v>29767.5</v>
      </c>
      <c r="J225" t="s">
        <v>51</v>
      </c>
    </row>
    <row r="226" spans="1:10" x14ac:dyDescent="0.2">
      <c r="A226" t="s">
        <v>19</v>
      </c>
      <c r="B226" t="s">
        <v>26</v>
      </c>
      <c r="C226">
        <v>2018</v>
      </c>
      <c r="D226" t="s">
        <v>14</v>
      </c>
      <c r="E226" t="s">
        <v>15</v>
      </c>
      <c r="F226" t="s">
        <v>16</v>
      </c>
      <c r="G226">
        <v>350</v>
      </c>
      <c r="H226" t="s">
        <v>28</v>
      </c>
      <c r="I226" s="3">
        <f t="shared" si="51"/>
        <v>31255.875</v>
      </c>
      <c r="J226" t="s">
        <v>51</v>
      </c>
    </row>
    <row r="227" spans="1:10" hidden="1" x14ac:dyDescent="0.2">
      <c r="A227" t="s">
        <v>21</v>
      </c>
      <c r="B227" t="s">
        <v>26</v>
      </c>
      <c r="C227">
        <v>2015</v>
      </c>
      <c r="D227" t="s">
        <v>14</v>
      </c>
      <c r="E227" t="s">
        <v>15</v>
      </c>
      <c r="F227" t="s">
        <v>16</v>
      </c>
      <c r="G227">
        <v>355</v>
      </c>
      <c r="H227" t="s">
        <v>29</v>
      </c>
      <c r="I227" s="3">
        <v>52000</v>
      </c>
      <c r="J227" t="s">
        <v>51</v>
      </c>
    </row>
    <row r="228" spans="1:10" hidden="1" x14ac:dyDescent="0.2">
      <c r="A228" t="s">
        <v>21</v>
      </c>
      <c r="B228" t="s">
        <v>26</v>
      </c>
      <c r="C228">
        <v>2016</v>
      </c>
      <c r="D228" t="s">
        <v>14</v>
      </c>
      <c r="E228" t="s">
        <v>15</v>
      </c>
      <c r="F228" t="s">
        <v>16</v>
      </c>
      <c r="G228">
        <v>355</v>
      </c>
      <c r="H228" t="s">
        <v>29</v>
      </c>
      <c r="I228" s="3">
        <f>I227*1.1</f>
        <v>57200.000000000007</v>
      </c>
      <c r="J228" t="s">
        <v>51</v>
      </c>
    </row>
    <row r="229" spans="1:10" hidden="1" x14ac:dyDescent="0.2">
      <c r="A229" t="s">
        <v>21</v>
      </c>
      <c r="B229" t="s">
        <v>26</v>
      </c>
      <c r="C229">
        <v>2017</v>
      </c>
      <c r="D229" t="s">
        <v>14</v>
      </c>
      <c r="E229" t="s">
        <v>15</v>
      </c>
      <c r="F229" t="s">
        <v>16</v>
      </c>
      <c r="G229">
        <v>355</v>
      </c>
      <c r="H229" t="s">
        <v>29</v>
      </c>
      <c r="I229" s="3">
        <f t="shared" ref="I229:I230" si="52">I228*1.1</f>
        <v>62920.000000000015</v>
      </c>
      <c r="J229" t="s">
        <v>51</v>
      </c>
    </row>
    <row r="230" spans="1:10" hidden="1" x14ac:dyDescent="0.2">
      <c r="A230" t="s">
        <v>21</v>
      </c>
      <c r="B230" t="s">
        <v>26</v>
      </c>
      <c r="C230">
        <v>2018</v>
      </c>
      <c r="D230" t="s">
        <v>14</v>
      </c>
      <c r="E230" t="s">
        <v>15</v>
      </c>
      <c r="F230" t="s">
        <v>16</v>
      </c>
      <c r="G230">
        <v>355</v>
      </c>
      <c r="H230" t="s">
        <v>29</v>
      </c>
      <c r="I230" s="3">
        <f t="shared" si="52"/>
        <v>69212.000000000015</v>
      </c>
      <c r="J230" t="s">
        <v>51</v>
      </c>
    </row>
    <row r="231" spans="1:10" hidden="1" x14ac:dyDescent="0.2">
      <c r="A231" t="s">
        <v>23</v>
      </c>
      <c r="B231" t="s">
        <v>26</v>
      </c>
      <c r="C231">
        <v>2015</v>
      </c>
      <c r="D231" t="s">
        <v>24</v>
      </c>
      <c r="E231" t="s">
        <v>15</v>
      </c>
      <c r="F231" t="s">
        <v>16</v>
      </c>
      <c r="G231">
        <v>138</v>
      </c>
      <c r="H231" t="s">
        <v>30</v>
      </c>
      <c r="I231" s="3">
        <v>15295</v>
      </c>
      <c r="J231" t="s">
        <v>51</v>
      </c>
    </row>
    <row r="232" spans="1:10" hidden="1" x14ac:dyDescent="0.2">
      <c r="A232" t="s">
        <v>23</v>
      </c>
      <c r="B232" t="s">
        <v>26</v>
      </c>
      <c r="C232">
        <v>2016</v>
      </c>
      <c r="D232" t="s">
        <v>24</v>
      </c>
      <c r="E232" t="s">
        <v>15</v>
      </c>
      <c r="F232" t="s">
        <v>16</v>
      </c>
      <c r="G232">
        <v>138</v>
      </c>
      <c r="H232" t="s">
        <v>30</v>
      </c>
      <c r="I232" s="3">
        <f>I231*1.1</f>
        <v>16824.5</v>
      </c>
      <c r="J232" t="s">
        <v>51</v>
      </c>
    </row>
    <row r="233" spans="1:10" hidden="1" x14ac:dyDescent="0.2">
      <c r="A233" t="s">
        <v>23</v>
      </c>
      <c r="B233" t="s">
        <v>26</v>
      </c>
      <c r="C233">
        <v>2017</v>
      </c>
      <c r="D233" t="s">
        <v>24</v>
      </c>
      <c r="E233" t="s">
        <v>15</v>
      </c>
      <c r="F233" t="s">
        <v>16</v>
      </c>
      <c r="G233">
        <v>138</v>
      </c>
      <c r="H233" t="s">
        <v>30</v>
      </c>
      <c r="I233" s="3">
        <f t="shared" ref="I233:I234" si="53">I232*1.1</f>
        <v>18506.95</v>
      </c>
      <c r="J233" t="s">
        <v>51</v>
      </c>
    </row>
    <row r="234" spans="1:10" hidden="1" x14ac:dyDescent="0.2">
      <c r="A234" t="s">
        <v>23</v>
      </c>
      <c r="B234" t="s">
        <v>26</v>
      </c>
      <c r="C234">
        <v>2018</v>
      </c>
      <c r="D234" t="s">
        <v>24</v>
      </c>
      <c r="E234" t="s">
        <v>15</v>
      </c>
      <c r="F234" t="s">
        <v>16</v>
      </c>
      <c r="G234">
        <v>138</v>
      </c>
      <c r="H234" t="s">
        <v>30</v>
      </c>
      <c r="I234" s="3">
        <f t="shared" si="53"/>
        <v>20357.645000000004</v>
      </c>
      <c r="J234" t="s">
        <v>51</v>
      </c>
    </row>
    <row r="235" spans="1:10" hidden="1" x14ac:dyDescent="0.2">
      <c r="A235" t="s">
        <v>12</v>
      </c>
      <c r="B235" t="s">
        <v>31</v>
      </c>
      <c r="C235">
        <v>2015</v>
      </c>
      <c r="D235" t="s">
        <v>32</v>
      </c>
      <c r="E235" t="s">
        <v>15</v>
      </c>
      <c r="F235" t="s">
        <v>16</v>
      </c>
      <c r="G235">
        <v>290</v>
      </c>
      <c r="H235" t="s">
        <v>33</v>
      </c>
      <c r="I235" s="3">
        <v>34900</v>
      </c>
      <c r="J235" t="s">
        <v>51</v>
      </c>
    </row>
    <row r="236" spans="1:10" hidden="1" x14ac:dyDescent="0.2">
      <c r="A236" t="s">
        <v>12</v>
      </c>
      <c r="B236" t="s">
        <v>31</v>
      </c>
      <c r="C236">
        <v>2016</v>
      </c>
      <c r="D236" t="s">
        <v>32</v>
      </c>
      <c r="E236" t="s">
        <v>15</v>
      </c>
      <c r="F236" t="s">
        <v>16</v>
      </c>
      <c r="G236">
        <v>290</v>
      </c>
      <c r="H236" t="s">
        <v>33</v>
      </c>
      <c r="I236" s="3">
        <f>34900*1.1</f>
        <v>38390</v>
      </c>
      <c r="J236" t="s">
        <v>51</v>
      </c>
    </row>
    <row r="237" spans="1:10" hidden="1" x14ac:dyDescent="0.2">
      <c r="A237" t="s">
        <v>12</v>
      </c>
      <c r="B237" t="s">
        <v>31</v>
      </c>
      <c r="C237">
        <v>2017</v>
      </c>
      <c r="D237" t="s">
        <v>32</v>
      </c>
      <c r="E237" t="s">
        <v>15</v>
      </c>
      <c r="F237" t="s">
        <v>16</v>
      </c>
      <c r="G237">
        <v>290</v>
      </c>
      <c r="H237" t="s">
        <v>33</v>
      </c>
      <c r="I237" s="3">
        <f t="shared" ref="I237:I238" si="54">34900*1.1</f>
        <v>38390</v>
      </c>
      <c r="J237" t="s">
        <v>51</v>
      </c>
    </row>
    <row r="238" spans="1:10" hidden="1" x14ac:dyDescent="0.2">
      <c r="A238" t="s">
        <v>12</v>
      </c>
      <c r="B238" t="s">
        <v>31</v>
      </c>
      <c r="C238">
        <v>2018</v>
      </c>
      <c r="D238" t="s">
        <v>32</v>
      </c>
      <c r="E238" t="s">
        <v>15</v>
      </c>
      <c r="F238" t="s">
        <v>16</v>
      </c>
      <c r="G238">
        <v>290</v>
      </c>
      <c r="H238" t="s">
        <v>33</v>
      </c>
      <c r="I238" s="3">
        <f t="shared" si="54"/>
        <v>38390</v>
      </c>
      <c r="J238" t="s">
        <v>51</v>
      </c>
    </row>
    <row r="239" spans="1:10" hidden="1" x14ac:dyDescent="0.2">
      <c r="A239" t="s">
        <v>12</v>
      </c>
      <c r="B239" t="s">
        <v>31</v>
      </c>
      <c r="C239">
        <v>2015</v>
      </c>
      <c r="D239" t="s">
        <v>32</v>
      </c>
      <c r="E239" t="s">
        <v>34</v>
      </c>
      <c r="F239" t="s">
        <v>16</v>
      </c>
      <c r="G239">
        <v>335</v>
      </c>
      <c r="H239" t="s">
        <v>35</v>
      </c>
      <c r="I239" s="3">
        <v>52650</v>
      </c>
      <c r="J239" t="s">
        <v>51</v>
      </c>
    </row>
    <row r="240" spans="1:10" hidden="1" x14ac:dyDescent="0.2">
      <c r="A240" t="s">
        <v>12</v>
      </c>
      <c r="B240" t="s">
        <v>31</v>
      </c>
      <c r="C240">
        <v>2016</v>
      </c>
      <c r="D240" t="s">
        <v>32</v>
      </c>
      <c r="E240" t="s">
        <v>34</v>
      </c>
      <c r="F240" t="s">
        <v>16</v>
      </c>
      <c r="G240">
        <v>335</v>
      </c>
      <c r="H240" t="s">
        <v>35</v>
      </c>
      <c r="I240" s="3">
        <f>52650*1.1</f>
        <v>57915.000000000007</v>
      </c>
      <c r="J240" t="s">
        <v>51</v>
      </c>
    </row>
    <row r="241" spans="1:10" hidden="1" x14ac:dyDescent="0.2">
      <c r="A241" t="s">
        <v>12</v>
      </c>
      <c r="B241" t="s">
        <v>31</v>
      </c>
      <c r="C241">
        <v>2017</v>
      </c>
      <c r="D241" t="s">
        <v>32</v>
      </c>
      <c r="E241" t="s">
        <v>34</v>
      </c>
      <c r="F241" t="s">
        <v>16</v>
      </c>
      <c r="G241">
        <v>335</v>
      </c>
      <c r="H241" t="s">
        <v>35</v>
      </c>
      <c r="I241" s="3">
        <f t="shared" ref="I241:I242" si="55">52650*1.1</f>
        <v>57915.000000000007</v>
      </c>
      <c r="J241" t="s">
        <v>51</v>
      </c>
    </row>
    <row r="242" spans="1:10" hidden="1" x14ac:dyDescent="0.2">
      <c r="A242" t="s">
        <v>12</v>
      </c>
      <c r="B242" t="s">
        <v>31</v>
      </c>
      <c r="C242">
        <v>2018</v>
      </c>
      <c r="D242" t="s">
        <v>32</v>
      </c>
      <c r="E242" t="s">
        <v>34</v>
      </c>
      <c r="F242" t="s">
        <v>16</v>
      </c>
      <c r="G242">
        <v>335</v>
      </c>
      <c r="H242" t="s">
        <v>35</v>
      </c>
      <c r="I242" s="3">
        <f t="shared" si="55"/>
        <v>57915.000000000007</v>
      </c>
      <c r="J242" t="s">
        <v>51</v>
      </c>
    </row>
    <row r="243" spans="1:10" hidden="1" x14ac:dyDescent="0.2">
      <c r="A243" t="s">
        <v>12</v>
      </c>
      <c r="B243" t="s">
        <v>31</v>
      </c>
      <c r="C243">
        <v>2015</v>
      </c>
      <c r="D243" t="s">
        <v>32</v>
      </c>
      <c r="E243" t="s">
        <v>34</v>
      </c>
      <c r="F243" t="s">
        <v>16</v>
      </c>
      <c r="G243">
        <v>420</v>
      </c>
      <c r="H243" t="s">
        <v>36</v>
      </c>
      <c r="I243" s="3">
        <v>83650</v>
      </c>
      <c r="J243" t="s">
        <v>51</v>
      </c>
    </row>
    <row r="244" spans="1:10" hidden="1" x14ac:dyDescent="0.2">
      <c r="A244" t="s">
        <v>12</v>
      </c>
      <c r="B244" t="s">
        <v>31</v>
      </c>
      <c r="C244">
        <v>2016</v>
      </c>
      <c r="D244" t="s">
        <v>32</v>
      </c>
      <c r="E244" t="s">
        <v>34</v>
      </c>
      <c r="F244" t="s">
        <v>16</v>
      </c>
      <c r="G244">
        <v>420</v>
      </c>
      <c r="H244" t="s">
        <v>36</v>
      </c>
      <c r="I244" s="3">
        <f>83650*1.1</f>
        <v>92015.000000000015</v>
      </c>
      <c r="J244" t="s">
        <v>51</v>
      </c>
    </row>
    <row r="245" spans="1:10" hidden="1" x14ac:dyDescent="0.2">
      <c r="A245" t="s">
        <v>12</v>
      </c>
      <c r="B245" t="s">
        <v>31</v>
      </c>
      <c r="C245">
        <v>2017</v>
      </c>
      <c r="D245" t="s">
        <v>32</v>
      </c>
      <c r="E245" t="s">
        <v>34</v>
      </c>
      <c r="F245" t="s">
        <v>16</v>
      </c>
      <c r="G245">
        <v>420</v>
      </c>
      <c r="H245" t="s">
        <v>36</v>
      </c>
      <c r="I245" s="3">
        <f t="shared" ref="I245:I246" si="56">83650*1.1</f>
        <v>92015.000000000015</v>
      </c>
      <c r="J245" t="s">
        <v>51</v>
      </c>
    </row>
    <row r="246" spans="1:10" hidden="1" x14ac:dyDescent="0.2">
      <c r="A246" t="s">
        <v>12</v>
      </c>
      <c r="B246" t="s">
        <v>31</v>
      </c>
      <c r="C246">
        <v>2018</v>
      </c>
      <c r="D246" t="s">
        <v>32</v>
      </c>
      <c r="E246" t="s">
        <v>34</v>
      </c>
      <c r="F246" t="s">
        <v>16</v>
      </c>
      <c r="G246">
        <v>420</v>
      </c>
      <c r="H246" t="s">
        <v>36</v>
      </c>
      <c r="I246" s="3">
        <f t="shared" si="56"/>
        <v>92015.000000000015</v>
      </c>
      <c r="J246" t="s">
        <v>51</v>
      </c>
    </row>
    <row r="247" spans="1:10" hidden="1" x14ac:dyDescent="0.2">
      <c r="A247" t="s">
        <v>12</v>
      </c>
      <c r="B247" t="s">
        <v>37</v>
      </c>
      <c r="C247">
        <v>2015</v>
      </c>
      <c r="D247" t="s">
        <v>32</v>
      </c>
      <c r="E247" t="s">
        <v>15</v>
      </c>
      <c r="F247" t="s">
        <v>16</v>
      </c>
      <c r="G247">
        <v>190</v>
      </c>
      <c r="H247" t="s">
        <v>38</v>
      </c>
      <c r="I247" s="3">
        <v>36000</v>
      </c>
      <c r="J247" t="s">
        <v>51</v>
      </c>
    </row>
    <row r="248" spans="1:10" hidden="1" x14ac:dyDescent="0.2">
      <c r="A248" t="s">
        <v>12</v>
      </c>
      <c r="B248" t="s">
        <v>37</v>
      </c>
      <c r="C248">
        <v>2016</v>
      </c>
      <c r="D248" t="s">
        <v>32</v>
      </c>
      <c r="E248" t="s">
        <v>15</v>
      </c>
      <c r="F248" t="s">
        <v>16</v>
      </c>
      <c r="G248">
        <v>190</v>
      </c>
      <c r="H248" t="s">
        <v>38</v>
      </c>
      <c r="I248" s="3">
        <f>I247*1.1</f>
        <v>39600</v>
      </c>
      <c r="J248" t="s">
        <v>51</v>
      </c>
    </row>
    <row r="249" spans="1:10" hidden="1" x14ac:dyDescent="0.2">
      <c r="A249" t="s">
        <v>12</v>
      </c>
      <c r="B249" t="s">
        <v>37</v>
      </c>
      <c r="C249">
        <v>2017</v>
      </c>
      <c r="D249" t="s">
        <v>32</v>
      </c>
      <c r="E249" t="s">
        <v>15</v>
      </c>
      <c r="F249" t="s">
        <v>16</v>
      </c>
      <c r="G249">
        <v>190</v>
      </c>
      <c r="H249" t="s">
        <v>38</v>
      </c>
      <c r="I249" s="3">
        <f t="shared" ref="I249:I250" si="57">I248*1.1</f>
        <v>43560</v>
      </c>
      <c r="J249" t="s">
        <v>51</v>
      </c>
    </row>
    <row r="250" spans="1:10" hidden="1" x14ac:dyDescent="0.2">
      <c r="A250" t="s">
        <v>12</v>
      </c>
      <c r="B250" t="s">
        <v>37</v>
      </c>
      <c r="C250">
        <v>2018</v>
      </c>
      <c r="D250" t="s">
        <v>32</v>
      </c>
      <c r="E250" t="s">
        <v>15</v>
      </c>
      <c r="F250" t="s">
        <v>16</v>
      </c>
      <c r="G250">
        <v>190</v>
      </c>
      <c r="H250" t="s">
        <v>38</v>
      </c>
      <c r="I250" s="3">
        <f t="shared" si="57"/>
        <v>47916.000000000007</v>
      </c>
      <c r="J250" t="s">
        <v>51</v>
      </c>
    </row>
    <row r="251" spans="1:10" hidden="1" x14ac:dyDescent="0.2">
      <c r="A251" t="s">
        <v>19</v>
      </c>
      <c r="B251" t="s">
        <v>37</v>
      </c>
      <c r="C251">
        <v>2015</v>
      </c>
      <c r="D251" t="s">
        <v>32</v>
      </c>
      <c r="E251" t="s">
        <v>15</v>
      </c>
      <c r="F251" t="s">
        <v>16</v>
      </c>
      <c r="G251">
        <v>252</v>
      </c>
      <c r="H251" t="s">
        <v>35</v>
      </c>
      <c r="I251" s="3">
        <v>42600</v>
      </c>
      <c r="J251" t="s">
        <v>51</v>
      </c>
    </row>
    <row r="252" spans="1:10" hidden="1" x14ac:dyDescent="0.2">
      <c r="A252" t="s">
        <v>19</v>
      </c>
      <c r="B252" t="s">
        <v>37</v>
      </c>
      <c r="C252">
        <v>2016</v>
      </c>
      <c r="D252" t="s">
        <v>32</v>
      </c>
      <c r="E252" t="s">
        <v>15</v>
      </c>
      <c r="F252" t="s">
        <v>16</v>
      </c>
      <c r="G252">
        <v>252</v>
      </c>
      <c r="H252" t="s">
        <v>35</v>
      </c>
      <c r="I252" s="3">
        <f>42600*1.1</f>
        <v>46860.000000000007</v>
      </c>
      <c r="J252" t="s">
        <v>51</v>
      </c>
    </row>
    <row r="253" spans="1:10" hidden="1" x14ac:dyDescent="0.2">
      <c r="A253" t="s">
        <v>19</v>
      </c>
      <c r="B253" t="s">
        <v>37</v>
      </c>
      <c r="C253">
        <v>2017</v>
      </c>
      <c r="D253" t="s">
        <v>32</v>
      </c>
      <c r="E253" t="s">
        <v>15</v>
      </c>
      <c r="F253" t="s">
        <v>16</v>
      </c>
      <c r="G253">
        <v>252</v>
      </c>
      <c r="H253" t="s">
        <v>35</v>
      </c>
      <c r="I253" s="3">
        <f t="shared" ref="I253:I254" si="58">42600*1.1</f>
        <v>46860.000000000007</v>
      </c>
      <c r="J253" t="s">
        <v>51</v>
      </c>
    </row>
    <row r="254" spans="1:10" hidden="1" x14ac:dyDescent="0.2">
      <c r="A254" t="s">
        <v>19</v>
      </c>
      <c r="B254" t="s">
        <v>37</v>
      </c>
      <c r="C254">
        <v>2018</v>
      </c>
      <c r="D254" t="s">
        <v>32</v>
      </c>
      <c r="E254" t="s">
        <v>15</v>
      </c>
      <c r="F254" t="s">
        <v>16</v>
      </c>
      <c r="G254">
        <v>252</v>
      </c>
      <c r="H254" t="s">
        <v>35</v>
      </c>
      <c r="I254" s="3">
        <f t="shared" si="58"/>
        <v>46860.000000000007</v>
      </c>
      <c r="J254" t="s">
        <v>51</v>
      </c>
    </row>
    <row r="255" spans="1:10" hidden="1" x14ac:dyDescent="0.2">
      <c r="A255" t="s">
        <v>21</v>
      </c>
      <c r="B255" t="s">
        <v>37</v>
      </c>
      <c r="C255">
        <v>2015</v>
      </c>
      <c r="D255" t="s">
        <v>32</v>
      </c>
      <c r="E255" t="s">
        <v>15</v>
      </c>
      <c r="F255" t="s">
        <v>16</v>
      </c>
      <c r="G255">
        <v>252</v>
      </c>
      <c r="H255" t="s">
        <v>39</v>
      </c>
      <c r="I255" s="3">
        <v>41500</v>
      </c>
      <c r="J255" t="s">
        <v>51</v>
      </c>
    </row>
    <row r="256" spans="1:10" hidden="1" x14ac:dyDescent="0.2">
      <c r="A256" t="s">
        <v>21</v>
      </c>
      <c r="B256" t="s">
        <v>37</v>
      </c>
      <c r="C256">
        <v>2016</v>
      </c>
      <c r="D256" t="s">
        <v>32</v>
      </c>
      <c r="E256" t="s">
        <v>15</v>
      </c>
      <c r="F256" t="s">
        <v>16</v>
      </c>
      <c r="G256">
        <v>252</v>
      </c>
      <c r="H256" t="s">
        <v>39</v>
      </c>
      <c r="I256" s="3">
        <f>41500*1.1</f>
        <v>45650.000000000007</v>
      </c>
      <c r="J256" t="s">
        <v>51</v>
      </c>
    </row>
    <row r="257" spans="1:10" hidden="1" x14ac:dyDescent="0.2">
      <c r="A257" t="s">
        <v>21</v>
      </c>
      <c r="B257" t="s">
        <v>37</v>
      </c>
      <c r="C257">
        <v>2017</v>
      </c>
      <c r="D257" t="s">
        <v>32</v>
      </c>
      <c r="E257" t="s">
        <v>15</v>
      </c>
      <c r="F257" t="s">
        <v>16</v>
      </c>
      <c r="G257">
        <v>252</v>
      </c>
      <c r="H257" t="s">
        <v>39</v>
      </c>
      <c r="I257" s="3">
        <f t="shared" ref="I257:I258" si="59">41500*1.1</f>
        <v>45650.000000000007</v>
      </c>
      <c r="J257" t="s">
        <v>51</v>
      </c>
    </row>
    <row r="258" spans="1:10" hidden="1" x14ac:dyDescent="0.2">
      <c r="A258" t="s">
        <v>21</v>
      </c>
      <c r="B258" t="s">
        <v>37</v>
      </c>
      <c r="C258">
        <v>2018</v>
      </c>
      <c r="D258" t="s">
        <v>32</v>
      </c>
      <c r="E258" t="s">
        <v>15</v>
      </c>
      <c r="F258" t="s">
        <v>16</v>
      </c>
      <c r="G258">
        <v>252</v>
      </c>
      <c r="H258" t="s">
        <v>39</v>
      </c>
      <c r="I258" s="3">
        <f t="shared" si="59"/>
        <v>45650.000000000007</v>
      </c>
      <c r="J258" t="s">
        <v>51</v>
      </c>
    </row>
    <row r="259" spans="1:10" hidden="1" x14ac:dyDescent="0.2">
      <c r="A259" t="s">
        <v>21</v>
      </c>
      <c r="B259" t="s">
        <v>37</v>
      </c>
      <c r="C259">
        <v>2015</v>
      </c>
      <c r="D259" t="s">
        <v>24</v>
      </c>
      <c r="E259" t="s">
        <v>15</v>
      </c>
      <c r="F259" t="s">
        <v>16</v>
      </c>
      <c r="G259">
        <v>200</v>
      </c>
      <c r="H259" t="s">
        <v>40</v>
      </c>
      <c r="I259" s="3">
        <v>30000</v>
      </c>
      <c r="J259" t="s">
        <v>51</v>
      </c>
    </row>
    <row r="260" spans="1:10" hidden="1" x14ac:dyDescent="0.2">
      <c r="A260" t="s">
        <v>21</v>
      </c>
      <c r="B260" t="s">
        <v>37</v>
      </c>
      <c r="C260">
        <v>2016</v>
      </c>
      <c r="D260" t="s">
        <v>24</v>
      </c>
      <c r="E260" t="s">
        <v>15</v>
      </c>
      <c r="F260" t="s">
        <v>16</v>
      </c>
      <c r="G260">
        <v>200</v>
      </c>
      <c r="H260" t="s">
        <v>40</v>
      </c>
      <c r="I260" s="3">
        <f>I259*1.1</f>
        <v>33000</v>
      </c>
      <c r="J260" t="s">
        <v>51</v>
      </c>
    </row>
    <row r="261" spans="1:10" hidden="1" x14ac:dyDescent="0.2">
      <c r="A261" t="s">
        <v>21</v>
      </c>
      <c r="B261" t="s">
        <v>37</v>
      </c>
      <c r="C261">
        <v>2017</v>
      </c>
      <c r="D261" t="s">
        <v>24</v>
      </c>
      <c r="E261" t="s">
        <v>15</v>
      </c>
      <c r="F261" t="s">
        <v>16</v>
      </c>
      <c r="G261">
        <v>200</v>
      </c>
      <c r="H261" t="s">
        <v>40</v>
      </c>
      <c r="I261" s="3">
        <f t="shared" ref="I261:I262" si="60">I260*1.1</f>
        <v>36300</v>
      </c>
      <c r="J261" t="s">
        <v>51</v>
      </c>
    </row>
    <row r="262" spans="1:10" hidden="1" x14ac:dyDescent="0.2">
      <c r="A262" t="s">
        <v>21</v>
      </c>
      <c r="B262" t="s">
        <v>37</v>
      </c>
      <c r="C262">
        <v>2018</v>
      </c>
      <c r="D262" t="s">
        <v>24</v>
      </c>
      <c r="E262" t="s">
        <v>15</v>
      </c>
      <c r="F262" t="s">
        <v>16</v>
      </c>
      <c r="G262">
        <v>200</v>
      </c>
      <c r="H262" t="s">
        <v>40</v>
      </c>
      <c r="I262" s="3">
        <f t="shared" si="60"/>
        <v>39930</v>
      </c>
      <c r="J262" t="s">
        <v>51</v>
      </c>
    </row>
    <row r="263" spans="1:10" hidden="1" x14ac:dyDescent="0.2">
      <c r="A263" t="s">
        <v>12</v>
      </c>
      <c r="B263" t="s">
        <v>41</v>
      </c>
      <c r="C263">
        <v>2015</v>
      </c>
      <c r="D263" t="s">
        <v>14</v>
      </c>
      <c r="E263" t="s">
        <v>15</v>
      </c>
      <c r="F263" t="s">
        <v>16</v>
      </c>
      <c r="G263">
        <v>240</v>
      </c>
      <c r="H263" t="s">
        <v>30</v>
      </c>
      <c r="I263" s="3">
        <v>22050</v>
      </c>
      <c r="J263" t="s">
        <v>51</v>
      </c>
    </row>
    <row r="264" spans="1:10" hidden="1" x14ac:dyDescent="0.2">
      <c r="A264" t="s">
        <v>12</v>
      </c>
      <c r="B264" t="s">
        <v>41</v>
      </c>
      <c r="C264">
        <v>2016</v>
      </c>
      <c r="D264" t="s">
        <v>14</v>
      </c>
      <c r="E264" t="s">
        <v>15</v>
      </c>
      <c r="F264" t="s">
        <v>16</v>
      </c>
      <c r="G264">
        <v>240</v>
      </c>
      <c r="H264" t="s">
        <v>30</v>
      </c>
      <c r="I264" s="3">
        <f>I263*1.1</f>
        <v>24255.000000000004</v>
      </c>
      <c r="J264" t="s">
        <v>51</v>
      </c>
    </row>
    <row r="265" spans="1:10" hidden="1" x14ac:dyDescent="0.2">
      <c r="A265" t="s">
        <v>12</v>
      </c>
      <c r="B265" t="s">
        <v>41</v>
      </c>
      <c r="C265">
        <v>2017</v>
      </c>
      <c r="D265" t="s">
        <v>14</v>
      </c>
      <c r="E265" t="s">
        <v>15</v>
      </c>
      <c r="F265" t="s">
        <v>16</v>
      </c>
      <c r="G265">
        <v>240</v>
      </c>
      <c r="H265" t="s">
        <v>30</v>
      </c>
      <c r="I265" s="3">
        <f t="shared" ref="I265:I266" si="61">I264*1.1</f>
        <v>26680.500000000007</v>
      </c>
      <c r="J265" t="s">
        <v>51</v>
      </c>
    </row>
    <row r="266" spans="1:10" hidden="1" x14ac:dyDescent="0.2">
      <c r="A266" t="s">
        <v>12</v>
      </c>
      <c r="B266" t="s">
        <v>41</v>
      </c>
      <c r="C266">
        <v>2018</v>
      </c>
      <c r="D266" t="s">
        <v>14</v>
      </c>
      <c r="E266" t="s">
        <v>15</v>
      </c>
      <c r="F266" t="s">
        <v>16</v>
      </c>
      <c r="G266">
        <v>240</v>
      </c>
      <c r="H266" t="s">
        <v>30</v>
      </c>
      <c r="I266" s="3">
        <f t="shared" si="61"/>
        <v>29348.55000000001</v>
      </c>
      <c r="J266" t="s">
        <v>51</v>
      </c>
    </row>
    <row r="267" spans="1:10" hidden="1" x14ac:dyDescent="0.2">
      <c r="A267" t="s">
        <v>19</v>
      </c>
      <c r="B267" t="s">
        <v>41</v>
      </c>
      <c r="C267">
        <v>2015</v>
      </c>
      <c r="D267" t="s">
        <v>14</v>
      </c>
      <c r="E267" t="s">
        <v>15</v>
      </c>
      <c r="F267" t="s">
        <v>16</v>
      </c>
      <c r="G267">
        <v>320</v>
      </c>
      <c r="H267" t="s">
        <v>42</v>
      </c>
      <c r="I267" s="3">
        <v>23000</v>
      </c>
      <c r="J267" t="s">
        <v>51</v>
      </c>
    </row>
    <row r="268" spans="1:10" hidden="1" x14ac:dyDescent="0.2">
      <c r="A268" t="s">
        <v>19</v>
      </c>
      <c r="B268" t="s">
        <v>41</v>
      </c>
      <c r="C268">
        <v>2016</v>
      </c>
      <c r="D268" t="s">
        <v>14</v>
      </c>
      <c r="E268" t="s">
        <v>15</v>
      </c>
      <c r="F268" t="s">
        <v>16</v>
      </c>
      <c r="G268">
        <v>320</v>
      </c>
      <c r="H268" t="s">
        <v>42</v>
      </c>
      <c r="I268" s="3">
        <f>I267*1.1</f>
        <v>25300.000000000004</v>
      </c>
      <c r="J268" t="s">
        <v>51</v>
      </c>
    </row>
    <row r="269" spans="1:10" hidden="1" x14ac:dyDescent="0.2">
      <c r="A269" t="s">
        <v>19</v>
      </c>
      <c r="B269" t="s">
        <v>41</v>
      </c>
      <c r="C269">
        <v>2017</v>
      </c>
      <c r="D269" t="s">
        <v>14</v>
      </c>
      <c r="E269" t="s">
        <v>15</v>
      </c>
      <c r="F269" t="s">
        <v>16</v>
      </c>
      <c r="G269">
        <v>320</v>
      </c>
      <c r="H269" t="s">
        <v>42</v>
      </c>
      <c r="I269" s="3">
        <f t="shared" ref="I269:I270" si="62">I268*1.1</f>
        <v>27830.000000000007</v>
      </c>
      <c r="J269" t="s">
        <v>51</v>
      </c>
    </row>
    <row r="270" spans="1:10" hidden="1" x14ac:dyDescent="0.2">
      <c r="A270" t="s">
        <v>19</v>
      </c>
      <c r="B270" t="s">
        <v>41</v>
      </c>
      <c r="C270">
        <v>2018</v>
      </c>
      <c r="D270" t="s">
        <v>14</v>
      </c>
      <c r="E270" t="s">
        <v>15</v>
      </c>
      <c r="F270" t="s">
        <v>16</v>
      </c>
      <c r="G270">
        <v>320</v>
      </c>
      <c r="H270" t="s">
        <v>42</v>
      </c>
      <c r="I270" s="3">
        <f t="shared" si="62"/>
        <v>30613.000000000011</v>
      </c>
      <c r="J270" t="s">
        <v>51</v>
      </c>
    </row>
    <row r="271" spans="1:10" hidden="1" x14ac:dyDescent="0.2">
      <c r="A271" t="s">
        <v>21</v>
      </c>
      <c r="B271" t="s">
        <v>41</v>
      </c>
      <c r="C271">
        <v>2015</v>
      </c>
      <c r="D271" t="s">
        <v>14</v>
      </c>
      <c r="E271" t="s">
        <v>15</v>
      </c>
      <c r="F271" t="s">
        <v>16</v>
      </c>
      <c r="G271">
        <v>260</v>
      </c>
      <c r="H271" t="s">
        <v>43</v>
      </c>
      <c r="I271" s="3">
        <v>26000</v>
      </c>
      <c r="J271" t="s">
        <v>51</v>
      </c>
    </row>
    <row r="272" spans="1:10" hidden="1" x14ac:dyDescent="0.2">
      <c r="A272" t="s">
        <v>21</v>
      </c>
      <c r="B272" t="s">
        <v>41</v>
      </c>
      <c r="C272">
        <v>2016</v>
      </c>
      <c r="D272" t="s">
        <v>14</v>
      </c>
      <c r="E272" t="s">
        <v>15</v>
      </c>
      <c r="F272" t="s">
        <v>16</v>
      </c>
      <c r="G272">
        <v>260</v>
      </c>
      <c r="H272" t="s">
        <v>43</v>
      </c>
      <c r="I272" s="3">
        <f>I271*1.1</f>
        <v>28600.000000000004</v>
      </c>
      <c r="J272" t="s">
        <v>51</v>
      </c>
    </row>
    <row r="273" spans="1:10" hidden="1" x14ac:dyDescent="0.2">
      <c r="A273" t="s">
        <v>21</v>
      </c>
      <c r="B273" t="s">
        <v>41</v>
      </c>
      <c r="C273">
        <v>2017</v>
      </c>
      <c r="D273" t="s">
        <v>14</v>
      </c>
      <c r="E273" t="s">
        <v>15</v>
      </c>
      <c r="F273" t="s">
        <v>16</v>
      </c>
      <c r="G273">
        <v>260</v>
      </c>
      <c r="H273" t="s">
        <v>43</v>
      </c>
      <c r="I273" s="3">
        <f t="shared" ref="I273:I274" si="63">I272*1.1</f>
        <v>31460.000000000007</v>
      </c>
      <c r="J273" t="s">
        <v>51</v>
      </c>
    </row>
    <row r="274" spans="1:10" hidden="1" x14ac:dyDescent="0.2">
      <c r="A274" t="s">
        <v>21</v>
      </c>
      <c r="B274" t="s">
        <v>41</v>
      </c>
      <c r="C274">
        <v>2018</v>
      </c>
      <c r="D274" t="s">
        <v>14</v>
      </c>
      <c r="E274" t="s">
        <v>15</v>
      </c>
      <c r="F274" t="s">
        <v>16</v>
      </c>
      <c r="G274">
        <v>260</v>
      </c>
      <c r="H274" t="s">
        <v>43</v>
      </c>
      <c r="I274" s="3">
        <f t="shared" si="63"/>
        <v>34606.000000000007</v>
      </c>
      <c r="J274" t="s">
        <v>51</v>
      </c>
    </row>
    <row r="275" spans="1:10" hidden="1" x14ac:dyDescent="0.2">
      <c r="A275" t="s">
        <v>23</v>
      </c>
      <c r="B275" t="s">
        <v>41</v>
      </c>
      <c r="C275">
        <v>2015</v>
      </c>
      <c r="D275" t="s">
        <v>24</v>
      </c>
      <c r="E275" t="s">
        <v>15</v>
      </c>
      <c r="F275" t="s">
        <v>16</v>
      </c>
      <c r="G275">
        <v>130</v>
      </c>
      <c r="H275" t="s">
        <v>44</v>
      </c>
      <c r="I275" s="3">
        <v>14995</v>
      </c>
      <c r="J275" t="s">
        <v>51</v>
      </c>
    </row>
    <row r="276" spans="1:10" hidden="1" x14ac:dyDescent="0.2">
      <c r="A276" t="s">
        <v>23</v>
      </c>
      <c r="B276" t="s">
        <v>41</v>
      </c>
      <c r="C276">
        <v>2016</v>
      </c>
      <c r="D276" t="s">
        <v>24</v>
      </c>
      <c r="E276" t="s">
        <v>15</v>
      </c>
      <c r="F276" t="s">
        <v>16</v>
      </c>
      <c r="G276">
        <v>130</v>
      </c>
      <c r="H276" t="s">
        <v>44</v>
      </c>
      <c r="I276" s="3">
        <f>I275*1.1</f>
        <v>16494.5</v>
      </c>
      <c r="J276" t="s">
        <v>51</v>
      </c>
    </row>
    <row r="277" spans="1:10" hidden="1" x14ac:dyDescent="0.2">
      <c r="A277" t="s">
        <v>23</v>
      </c>
      <c r="B277" t="s">
        <v>41</v>
      </c>
      <c r="C277">
        <v>2017</v>
      </c>
      <c r="D277" t="s">
        <v>24</v>
      </c>
      <c r="E277" t="s">
        <v>15</v>
      </c>
      <c r="F277" t="s">
        <v>16</v>
      </c>
      <c r="G277">
        <v>130</v>
      </c>
      <c r="H277" t="s">
        <v>44</v>
      </c>
      <c r="I277" s="3">
        <f t="shared" ref="I277:I278" si="64">I276*1.1</f>
        <v>18143.95</v>
      </c>
      <c r="J277" t="s">
        <v>51</v>
      </c>
    </row>
    <row r="278" spans="1:10" hidden="1" x14ac:dyDescent="0.2">
      <c r="A278" t="s">
        <v>23</v>
      </c>
      <c r="B278" t="s">
        <v>41</v>
      </c>
      <c r="C278">
        <v>2018</v>
      </c>
      <c r="D278" t="s">
        <v>24</v>
      </c>
      <c r="E278" t="s">
        <v>15</v>
      </c>
      <c r="F278" t="s">
        <v>16</v>
      </c>
      <c r="G278">
        <v>130</v>
      </c>
      <c r="H278" t="s">
        <v>44</v>
      </c>
      <c r="I278" s="3">
        <f t="shared" si="64"/>
        <v>19958.345000000001</v>
      </c>
      <c r="J278" t="s">
        <v>51</v>
      </c>
    </row>
    <row r="279" spans="1:10" hidden="1" x14ac:dyDescent="0.2">
      <c r="A279" t="s">
        <v>12</v>
      </c>
      <c r="B279" t="s">
        <v>45</v>
      </c>
      <c r="C279">
        <v>2015</v>
      </c>
      <c r="D279" t="s">
        <v>32</v>
      </c>
      <c r="E279" t="s">
        <v>15</v>
      </c>
      <c r="F279" t="s">
        <v>16</v>
      </c>
      <c r="G279">
        <v>275</v>
      </c>
      <c r="H279" t="s">
        <v>46</v>
      </c>
      <c r="I279" s="3">
        <v>38210</v>
      </c>
      <c r="J279" t="s">
        <v>51</v>
      </c>
    </row>
    <row r="280" spans="1:10" hidden="1" x14ac:dyDescent="0.2">
      <c r="A280" t="s">
        <v>12</v>
      </c>
      <c r="B280" t="s">
        <v>45</v>
      </c>
      <c r="C280">
        <v>2016</v>
      </c>
      <c r="D280" t="s">
        <v>32</v>
      </c>
      <c r="E280" t="s">
        <v>15</v>
      </c>
      <c r="F280" t="s">
        <v>16</v>
      </c>
      <c r="G280">
        <v>275</v>
      </c>
      <c r="H280" t="s">
        <v>46</v>
      </c>
      <c r="I280" s="3">
        <f>I279*1.1</f>
        <v>42031</v>
      </c>
      <c r="J280" t="s">
        <v>51</v>
      </c>
    </row>
    <row r="281" spans="1:10" hidden="1" x14ac:dyDescent="0.2">
      <c r="A281" t="s">
        <v>12</v>
      </c>
      <c r="B281" t="s">
        <v>45</v>
      </c>
      <c r="C281">
        <v>2017</v>
      </c>
      <c r="D281" t="s">
        <v>32</v>
      </c>
      <c r="E281" t="s">
        <v>15</v>
      </c>
      <c r="F281" t="s">
        <v>16</v>
      </c>
      <c r="G281">
        <v>275</v>
      </c>
      <c r="H281" t="s">
        <v>46</v>
      </c>
      <c r="I281" s="3">
        <f t="shared" ref="I281:I282" si="65">I280*1.1</f>
        <v>46234.100000000006</v>
      </c>
      <c r="J281" t="s">
        <v>51</v>
      </c>
    </row>
    <row r="282" spans="1:10" hidden="1" x14ac:dyDescent="0.2">
      <c r="A282" t="s">
        <v>12</v>
      </c>
      <c r="B282" t="s">
        <v>45</v>
      </c>
      <c r="C282">
        <v>2018</v>
      </c>
      <c r="D282" t="s">
        <v>32</v>
      </c>
      <c r="E282" t="s">
        <v>15</v>
      </c>
      <c r="F282" t="s">
        <v>16</v>
      </c>
      <c r="G282">
        <v>275</v>
      </c>
      <c r="H282" t="s">
        <v>46</v>
      </c>
      <c r="I282" s="3">
        <f t="shared" si="65"/>
        <v>50857.510000000009</v>
      </c>
      <c r="J282" t="s">
        <v>51</v>
      </c>
    </row>
    <row r="283" spans="1:10" hidden="1" x14ac:dyDescent="0.2">
      <c r="A283" t="s">
        <v>19</v>
      </c>
      <c r="B283" t="s">
        <v>45</v>
      </c>
      <c r="C283">
        <v>2015</v>
      </c>
      <c r="D283" t="s">
        <v>32</v>
      </c>
      <c r="E283" t="s">
        <v>15</v>
      </c>
      <c r="F283" t="s">
        <v>16</v>
      </c>
      <c r="G283">
        <v>350</v>
      </c>
      <c r="H283" t="s">
        <v>46</v>
      </c>
      <c r="I283" s="3">
        <v>40640</v>
      </c>
      <c r="J283" t="s">
        <v>51</v>
      </c>
    </row>
    <row r="284" spans="1:10" hidden="1" x14ac:dyDescent="0.2">
      <c r="A284" t="s">
        <v>19</v>
      </c>
      <c r="B284" t="s">
        <v>45</v>
      </c>
      <c r="C284">
        <v>2016</v>
      </c>
      <c r="D284" t="s">
        <v>32</v>
      </c>
      <c r="E284" t="s">
        <v>15</v>
      </c>
      <c r="F284" t="s">
        <v>16</v>
      </c>
      <c r="G284">
        <v>350</v>
      </c>
      <c r="H284" t="s">
        <v>46</v>
      </c>
      <c r="I284" s="3">
        <f>I283*1.06</f>
        <v>43078.400000000001</v>
      </c>
      <c r="J284" t="s">
        <v>51</v>
      </c>
    </row>
    <row r="285" spans="1:10" hidden="1" x14ac:dyDescent="0.2">
      <c r="A285" t="s">
        <v>19</v>
      </c>
      <c r="B285" t="s">
        <v>45</v>
      </c>
      <c r="C285">
        <v>2017</v>
      </c>
      <c r="D285" t="s">
        <v>32</v>
      </c>
      <c r="E285" t="s">
        <v>15</v>
      </c>
      <c r="F285" t="s">
        <v>16</v>
      </c>
      <c r="G285">
        <v>350</v>
      </c>
      <c r="H285" t="s">
        <v>46</v>
      </c>
      <c r="I285" s="3">
        <f t="shared" ref="I285:I286" si="66">I284*1.06</f>
        <v>45663.104000000007</v>
      </c>
      <c r="J285" t="s">
        <v>51</v>
      </c>
    </row>
    <row r="286" spans="1:10" hidden="1" x14ac:dyDescent="0.2">
      <c r="A286" t="s">
        <v>19</v>
      </c>
      <c r="B286" t="s">
        <v>45</v>
      </c>
      <c r="C286">
        <v>2018</v>
      </c>
      <c r="D286" t="s">
        <v>32</v>
      </c>
      <c r="E286" t="s">
        <v>15</v>
      </c>
      <c r="F286" t="s">
        <v>16</v>
      </c>
      <c r="G286">
        <v>350</v>
      </c>
      <c r="H286" t="s">
        <v>46</v>
      </c>
      <c r="I286" s="3">
        <f t="shared" si="66"/>
        <v>48402.890240000008</v>
      </c>
      <c r="J286" t="s">
        <v>51</v>
      </c>
    </row>
    <row r="287" spans="1:10" hidden="1" x14ac:dyDescent="0.2">
      <c r="A287" t="s">
        <v>21</v>
      </c>
      <c r="B287" t="s">
        <v>45</v>
      </c>
      <c r="C287">
        <v>2015</v>
      </c>
      <c r="D287" t="s">
        <v>32</v>
      </c>
      <c r="E287" t="s">
        <v>15</v>
      </c>
      <c r="F287" t="s">
        <v>16</v>
      </c>
      <c r="G287">
        <v>295</v>
      </c>
      <c r="H287" t="s">
        <v>47</v>
      </c>
      <c r="I287" s="3">
        <v>43270</v>
      </c>
      <c r="J287" t="s">
        <v>51</v>
      </c>
    </row>
    <row r="288" spans="1:10" hidden="1" x14ac:dyDescent="0.2">
      <c r="A288" t="s">
        <v>21</v>
      </c>
      <c r="B288" t="s">
        <v>45</v>
      </c>
      <c r="C288">
        <v>2016</v>
      </c>
      <c r="D288" t="s">
        <v>32</v>
      </c>
      <c r="E288" t="s">
        <v>15</v>
      </c>
      <c r="F288" t="s">
        <v>16</v>
      </c>
      <c r="G288">
        <v>295</v>
      </c>
      <c r="H288" t="s">
        <v>47</v>
      </c>
      <c r="I288" s="3">
        <f>I287*1.06</f>
        <v>45866.200000000004</v>
      </c>
      <c r="J288" t="s">
        <v>51</v>
      </c>
    </row>
    <row r="289" spans="1:10" hidden="1" x14ac:dyDescent="0.2">
      <c r="A289" t="s">
        <v>21</v>
      </c>
      <c r="B289" t="s">
        <v>45</v>
      </c>
      <c r="C289">
        <v>2017</v>
      </c>
      <c r="D289" t="s">
        <v>32</v>
      </c>
      <c r="E289" t="s">
        <v>15</v>
      </c>
      <c r="F289" t="s">
        <v>16</v>
      </c>
      <c r="G289">
        <v>295</v>
      </c>
      <c r="H289" t="s">
        <v>47</v>
      </c>
      <c r="I289" s="3">
        <f t="shared" ref="I289:I290" si="67">I288*1.06</f>
        <v>48618.172000000006</v>
      </c>
      <c r="J289" t="s">
        <v>51</v>
      </c>
    </row>
    <row r="290" spans="1:10" hidden="1" x14ac:dyDescent="0.2">
      <c r="A290" t="s">
        <v>21</v>
      </c>
      <c r="B290" t="s">
        <v>45</v>
      </c>
      <c r="C290">
        <v>2018</v>
      </c>
      <c r="D290" t="s">
        <v>32</v>
      </c>
      <c r="E290" t="s">
        <v>15</v>
      </c>
      <c r="F290" t="s">
        <v>16</v>
      </c>
      <c r="G290">
        <v>295</v>
      </c>
      <c r="H290" t="s">
        <v>47</v>
      </c>
      <c r="I290" s="3">
        <f t="shared" si="67"/>
        <v>51535.262320000009</v>
      </c>
      <c r="J290" t="s">
        <v>51</v>
      </c>
    </row>
    <row r="291" spans="1:10" hidden="1" x14ac:dyDescent="0.2">
      <c r="A291" t="s">
        <v>23</v>
      </c>
      <c r="B291" t="s">
        <v>45</v>
      </c>
      <c r="C291">
        <v>2015</v>
      </c>
      <c r="D291" t="s">
        <v>24</v>
      </c>
      <c r="E291" t="s">
        <v>15</v>
      </c>
      <c r="F291" t="s">
        <v>16</v>
      </c>
      <c r="G291">
        <v>134</v>
      </c>
      <c r="H291" t="s">
        <v>48</v>
      </c>
      <c r="I291" s="3">
        <v>31250</v>
      </c>
      <c r="J291" t="s">
        <v>51</v>
      </c>
    </row>
    <row r="292" spans="1:10" hidden="1" x14ac:dyDescent="0.2">
      <c r="A292" t="s">
        <v>23</v>
      </c>
      <c r="B292" t="s">
        <v>45</v>
      </c>
      <c r="C292">
        <v>2016</v>
      </c>
      <c r="D292" t="s">
        <v>24</v>
      </c>
      <c r="E292" t="s">
        <v>15</v>
      </c>
      <c r="F292" t="s">
        <v>16</v>
      </c>
      <c r="G292">
        <v>134</v>
      </c>
      <c r="H292" t="s">
        <v>48</v>
      </c>
      <c r="I292" s="3">
        <f>I291*1.05</f>
        <v>32812.5</v>
      </c>
      <c r="J292" t="s">
        <v>51</v>
      </c>
    </row>
    <row r="293" spans="1:10" hidden="1" x14ac:dyDescent="0.2">
      <c r="A293" t="s">
        <v>23</v>
      </c>
      <c r="B293" t="s">
        <v>45</v>
      </c>
      <c r="C293">
        <v>2017</v>
      </c>
      <c r="D293" t="s">
        <v>24</v>
      </c>
      <c r="E293" t="s">
        <v>15</v>
      </c>
      <c r="F293" t="s">
        <v>16</v>
      </c>
      <c r="G293">
        <v>134</v>
      </c>
      <c r="H293" t="s">
        <v>48</v>
      </c>
      <c r="I293" s="3">
        <f t="shared" ref="I293:I294" si="68">I292*1.05</f>
        <v>34453.125</v>
      </c>
      <c r="J293" t="s">
        <v>51</v>
      </c>
    </row>
    <row r="294" spans="1:10" hidden="1" x14ac:dyDescent="0.2">
      <c r="A294" t="s">
        <v>23</v>
      </c>
      <c r="B294" t="s">
        <v>45</v>
      </c>
      <c r="C294">
        <v>2018</v>
      </c>
      <c r="D294" t="s">
        <v>24</v>
      </c>
      <c r="E294" t="s">
        <v>15</v>
      </c>
      <c r="F294" t="s">
        <v>16</v>
      </c>
      <c r="G294">
        <v>134</v>
      </c>
      <c r="H294" t="s">
        <v>48</v>
      </c>
      <c r="I294" s="3">
        <f t="shared" si="68"/>
        <v>36175.78125</v>
      </c>
      <c r="J294" t="s">
        <v>51</v>
      </c>
    </row>
    <row r="295" spans="1:10" hidden="1" x14ac:dyDescent="0.2">
      <c r="A295" t="s">
        <v>12</v>
      </c>
      <c r="B295" t="s">
        <v>13</v>
      </c>
      <c r="C295">
        <v>2015</v>
      </c>
      <c r="D295" t="s">
        <v>14</v>
      </c>
      <c r="E295" t="s">
        <v>15</v>
      </c>
      <c r="F295" t="s">
        <v>16</v>
      </c>
      <c r="G295">
        <v>177</v>
      </c>
      <c r="H295" t="s">
        <v>17</v>
      </c>
      <c r="I295" s="3">
        <v>17950</v>
      </c>
      <c r="J295" t="s">
        <v>50</v>
      </c>
    </row>
    <row r="296" spans="1:10" hidden="1" x14ac:dyDescent="0.2">
      <c r="A296" t="s">
        <v>12</v>
      </c>
      <c r="B296" t="s">
        <v>13</v>
      </c>
      <c r="C296">
        <v>2016</v>
      </c>
      <c r="D296" t="s">
        <v>14</v>
      </c>
      <c r="E296" t="s">
        <v>15</v>
      </c>
      <c r="F296" t="s">
        <v>16</v>
      </c>
      <c r="G296">
        <v>177</v>
      </c>
      <c r="H296" t="s">
        <v>17</v>
      </c>
      <c r="I296" s="3">
        <f>I295*1.1</f>
        <v>19745</v>
      </c>
      <c r="J296" t="s">
        <v>50</v>
      </c>
    </row>
    <row r="297" spans="1:10" hidden="1" x14ac:dyDescent="0.2">
      <c r="A297" t="s">
        <v>12</v>
      </c>
      <c r="B297" t="s">
        <v>13</v>
      </c>
      <c r="C297">
        <v>2017</v>
      </c>
      <c r="D297" t="s">
        <v>14</v>
      </c>
      <c r="E297" t="s">
        <v>15</v>
      </c>
      <c r="F297" t="s">
        <v>16</v>
      </c>
      <c r="G297">
        <v>177</v>
      </c>
      <c r="H297" t="s">
        <v>17</v>
      </c>
      <c r="I297" s="3">
        <f t="shared" ref="I297:I298" si="69">I296*1.1</f>
        <v>21719.5</v>
      </c>
      <c r="J297" t="s">
        <v>50</v>
      </c>
    </row>
    <row r="298" spans="1:10" hidden="1" x14ac:dyDescent="0.2">
      <c r="A298" t="s">
        <v>12</v>
      </c>
      <c r="B298" t="s">
        <v>13</v>
      </c>
      <c r="C298">
        <v>2018</v>
      </c>
      <c r="D298" t="s">
        <v>14</v>
      </c>
      <c r="E298" t="s">
        <v>15</v>
      </c>
      <c r="F298" t="s">
        <v>16</v>
      </c>
      <c r="G298">
        <v>177</v>
      </c>
      <c r="H298" t="s">
        <v>17</v>
      </c>
      <c r="I298" s="3">
        <f t="shared" si="69"/>
        <v>23891.45</v>
      </c>
      <c r="J298" t="s">
        <v>50</v>
      </c>
    </row>
    <row r="299" spans="1:10" hidden="1" x14ac:dyDescent="0.2">
      <c r="A299" t="s">
        <v>19</v>
      </c>
      <c r="B299" t="s">
        <v>13</v>
      </c>
      <c r="C299">
        <v>2015</v>
      </c>
      <c r="D299" t="s">
        <v>14</v>
      </c>
      <c r="E299" t="s">
        <v>15</v>
      </c>
      <c r="F299" t="s">
        <v>16</v>
      </c>
      <c r="G299">
        <v>350</v>
      </c>
      <c r="H299" t="s">
        <v>20</v>
      </c>
      <c r="I299" s="3">
        <v>25680</v>
      </c>
      <c r="J299" t="s">
        <v>50</v>
      </c>
    </row>
    <row r="300" spans="1:10" hidden="1" x14ac:dyDescent="0.2">
      <c r="A300" t="s">
        <v>19</v>
      </c>
      <c r="B300" t="s">
        <v>13</v>
      </c>
      <c r="C300">
        <v>2016</v>
      </c>
      <c r="D300" t="s">
        <v>14</v>
      </c>
      <c r="E300" t="s">
        <v>15</v>
      </c>
      <c r="F300" t="s">
        <v>16</v>
      </c>
      <c r="G300">
        <v>350</v>
      </c>
      <c r="H300" t="s">
        <v>20</v>
      </c>
      <c r="I300" s="3">
        <f>I299*1.1</f>
        <v>28248.000000000004</v>
      </c>
      <c r="J300" t="s">
        <v>50</v>
      </c>
    </row>
    <row r="301" spans="1:10" hidden="1" x14ac:dyDescent="0.2">
      <c r="A301" t="s">
        <v>19</v>
      </c>
      <c r="B301" t="s">
        <v>13</v>
      </c>
      <c r="C301">
        <v>2017</v>
      </c>
      <c r="D301" t="s">
        <v>14</v>
      </c>
      <c r="E301" t="s">
        <v>15</v>
      </c>
      <c r="F301" t="s">
        <v>16</v>
      </c>
      <c r="G301">
        <v>350</v>
      </c>
      <c r="H301" t="s">
        <v>20</v>
      </c>
      <c r="I301" s="3">
        <f t="shared" ref="I301" si="70">I300*1.1</f>
        <v>31072.800000000007</v>
      </c>
      <c r="J301" t="s">
        <v>50</v>
      </c>
    </row>
    <row r="302" spans="1:10" hidden="1" x14ac:dyDescent="0.2">
      <c r="A302" t="s">
        <v>19</v>
      </c>
      <c r="B302" t="s">
        <v>13</v>
      </c>
      <c r="C302">
        <v>2018</v>
      </c>
      <c r="D302" t="s">
        <v>14</v>
      </c>
      <c r="E302" t="s">
        <v>15</v>
      </c>
      <c r="F302" t="s">
        <v>16</v>
      </c>
      <c r="G302">
        <v>350</v>
      </c>
      <c r="H302" t="s">
        <v>20</v>
      </c>
      <c r="I302" s="3">
        <f>I301*1.1</f>
        <v>34180.080000000009</v>
      </c>
      <c r="J302" t="s">
        <v>50</v>
      </c>
    </row>
    <row r="303" spans="1:10" hidden="1" x14ac:dyDescent="0.2">
      <c r="A303" t="s">
        <v>21</v>
      </c>
      <c r="B303" t="s">
        <v>13</v>
      </c>
      <c r="C303">
        <v>2015</v>
      </c>
      <c r="D303" t="s">
        <v>14</v>
      </c>
      <c r="E303" t="s">
        <v>15</v>
      </c>
      <c r="F303" t="s">
        <v>16</v>
      </c>
      <c r="G303">
        <v>245</v>
      </c>
      <c r="H303" t="s">
        <v>22</v>
      </c>
      <c r="I303" s="3">
        <v>29315</v>
      </c>
      <c r="J303" t="s">
        <v>50</v>
      </c>
    </row>
    <row r="304" spans="1:10" hidden="1" x14ac:dyDescent="0.2">
      <c r="A304" t="s">
        <v>21</v>
      </c>
      <c r="B304" t="s">
        <v>13</v>
      </c>
      <c r="C304">
        <v>2016</v>
      </c>
      <c r="D304" t="s">
        <v>14</v>
      </c>
      <c r="E304" t="s">
        <v>15</v>
      </c>
      <c r="F304" t="s">
        <v>16</v>
      </c>
      <c r="G304">
        <v>245</v>
      </c>
      <c r="H304" t="s">
        <v>22</v>
      </c>
      <c r="I304" s="3">
        <f>I303*1.1</f>
        <v>32246.500000000004</v>
      </c>
      <c r="J304" t="s">
        <v>50</v>
      </c>
    </row>
    <row r="305" spans="1:10" hidden="1" x14ac:dyDescent="0.2">
      <c r="A305" t="s">
        <v>21</v>
      </c>
      <c r="B305" t="s">
        <v>13</v>
      </c>
      <c r="C305">
        <v>2017</v>
      </c>
      <c r="D305" t="s">
        <v>14</v>
      </c>
      <c r="E305" t="s">
        <v>15</v>
      </c>
      <c r="F305" t="s">
        <v>16</v>
      </c>
      <c r="G305">
        <v>245</v>
      </c>
      <c r="H305" t="s">
        <v>22</v>
      </c>
      <c r="I305" s="3">
        <f t="shared" ref="I305:I306" si="71">I304*1.1</f>
        <v>35471.150000000009</v>
      </c>
      <c r="J305" t="s">
        <v>50</v>
      </c>
    </row>
    <row r="306" spans="1:10" hidden="1" x14ac:dyDescent="0.2">
      <c r="A306" t="s">
        <v>21</v>
      </c>
      <c r="B306" t="s">
        <v>13</v>
      </c>
      <c r="C306">
        <v>2018</v>
      </c>
      <c r="D306" t="s">
        <v>14</v>
      </c>
      <c r="E306" t="s">
        <v>15</v>
      </c>
      <c r="F306" t="s">
        <v>16</v>
      </c>
      <c r="G306">
        <v>245</v>
      </c>
      <c r="H306" t="s">
        <v>22</v>
      </c>
      <c r="I306" s="3">
        <f t="shared" si="71"/>
        <v>39018.265000000014</v>
      </c>
      <c r="J306" t="s">
        <v>50</v>
      </c>
    </row>
    <row r="307" spans="1:10" hidden="1" x14ac:dyDescent="0.2">
      <c r="A307" t="s">
        <v>23</v>
      </c>
      <c r="B307" t="s">
        <v>13</v>
      </c>
      <c r="C307">
        <v>2015</v>
      </c>
      <c r="D307" t="s">
        <v>24</v>
      </c>
      <c r="E307" t="s">
        <v>15</v>
      </c>
      <c r="F307" t="s">
        <v>16</v>
      </c>
      <c r="G307">
        <v>185</v>
      </c>
      <c r="H307" t="s">
        <v>25</v>
      </c>
      <c r="I307" s="3">
        <v>17950</v>
      </c>
      <c r="J307" t="s">
        <v>50</v>
      </c>
    </row>
    <row r="308" spans="1:10" hidden="1" x14ac:dyDescent="0.2">
      <c r="A308" t="s">
        <v>23</v>
      </c>
      <c r="B308" t="s">
        <v>13</v>
      </c>
      <c r="C308">
        <v>2016</v>
      </c>
      <c r="D308" t="s">
        <v>24</v>
      </c>
      <c r="E308" t="s">
        <v>15</v>
      </c>
      <c r="F308" t="s">
        <v>16</v>
      </c>
      <c r="G308">
        <v>185</v>
      </c>
      <c r="H308" t="s">
        <v>25</v>
      </c>
      <c r="I308" s="3">
        <f>I307*1.1</f>
        <v>19745</v>
      </c>
      <c r="J308" t="s">
        <v>50</v>
      </c>
    </row>
    <row r="309" spans="1:10" hidden="1" x14ac:dyDescent="0.2">
      <c r="A309" t="s">
        <v>23</v>
      </c>
      <c r="B309" t="s">
        <v>13</v>
      </c>
      <c r="C309">
        <v>2017</v>
      </c>
      <c r="D309" t="s">
        <v>24</v>
      </c>
      <c r="E309" t="s">
        <v>15</v>
      </c>
      <c r="F309" t="s">
        <v>16</v>
      </c>
      <c r="G309">
        <v>185</v>
      </c>
      <c r="H309" t="s">
        <v>25</v>
      </c>
      <c r="I309" s="3">
        <f t="shared" ref="I309:I310" si="72">I308*1.1</f>
        <v>21719.5</v>
      </c>
      <c r="J309" t="s">
        <v>50</v>
      </c>
    </row>
    <row r="310" spans="1:10" hidden="1" x14ac:dyDescent="0.2">
      <c r="A310" t="s">
        <v>23</v>
      </c>
      <c r="B310" t="s">
        <v>13</v>
      </c>
      <c r="C310">
        <v>2018</v>
      </c>
      <c r="D310" t="s">
        <v>24</v>
      </c>
      <c r="E310" t="s">
        <v>15</v>
      </c>
      <c r="F310" t="s">
        <v>16</v>
      </c>
      <c r="G310">
        <v>185</v>
      </c>
      <c r="H310" t="s">
        <v>25</v>
      </c>
      <c r="I310" s="3">
        <f t="shared" si="72"/>
        <v>23891.45</v>
      </c>
      <c r="J310" t="s">
        <v>50</v>
      </c>
    </row>
    <row r="311" spans="1:10" hidden="1" x14ac:dyDescent="0.2">
      <c r="A311" t="s">
        <v>12</v>
      </c>
      <c r="B311" t="s">
        <v>26</v>
      </c>
      <c r="C311">
        <v>2015</v>
      </c>
      <c r="D311" t="s">
        <v>14</v>
      </c>
      <c r="E311" t="s">
        <v>15</v>
      </c>
      <c r="F311" t="s">
        <v>16</v>
      </c>
      <c r="G311">
        <v>266</v>
      </c>
      <c r="H311" t="s">
        <v>27</v>
      </c>
      <c r="I311" s="3">
        <v>27895</v>
      </c>
      <c r="J311" t="s">
        <v>50</v>
      </c>
    </row>
    <row r="312" spans="1:10" hidden="1" x14ac:dyDescent="0.2">
      <c r="A312" t="s">
        <v>12</v>
      </c>
      <c r="B312" t="s">
        <v>26</v>
      </c>
      <c r="C312">
        <v>2016</v>
      </c>
      <c r="D312" t="s">
        <v>14</v>
      </c>
      <c r="E312" t="s">
        <v>15</v>
      </c>
      <c r="F312" t="s">
        <v>16</v>
      </c>
      <c r="G312">
        <v>266</v>
      </c>
      <c r="H312" t="s">
        <v>27</v>
      </c>
      <c r="I312" s="3">
        <f>I311*1.1</f>
        <v>30684.500000000004</v>
      </c>
      <c r="J312" t="s">
        <v>50</v>
      </c>
    </row>
    <row r="313" spans="1:10" hidden="1" x14ac:dyDescent="0.2">
      <c r="A313" t="s">
        <v>12</v>
      </c>
      <c r="B313" t="s">
        <v>26</v>
      </c>
      <c r="C313">
        <v>2017</v>
      </c>
      <c r="D313" t="s">
        <v>14</v>
      </c>
      <c r="E313" t="s">
        <v>15</v>
      </c>
      <c r="F313" t="s">
        <v>16</v>
      </c>
      <c r="G313">
        <v>266</v>
      </c>
      <c r="H313" t="s">
        <v>27</v>
      </c>
      <c r="I313" s="3">
        <f t="shared" ref="I313:I314" si="73">I312*1.1</f>
        <v>33752.950000000004</v>
      </c>
      <c r="J313" t="s">
        <v>50</v>
      </c>
    </row>
    <row r="314" spans="1:10" hidden="1" x14ac:dyDescent="0.2">
      <c r="A314" t="s">
        <v>12</v>
      </c>
      <c r="B314" t="s">
        <v>26</v>
      </c>
      <c r="C314">
        <v>2018</v>
      </c>
      <c r="D314" t="s">
        <v>14</v>
      </c>
      <c r="E314" t="s">
        <v>15</v>
      </c>
      <c r="F314" t="s">
        <v>16</v>
      </c>
      <c r="G314">
        <v>266</v>
      </c>
      <c r="H314" t="s">
        <v>27</v>
      </c>
      <c r="I314" s="3">
        <f t="shared" si="73"/>
        <v>37128.24500000001</v>
      </c>
      <c r="J314" t="s">
        <v>50</v>
      </c>
    </row>
    <row r="315" spans="1:10" x14ac:dyDescent="0.2">
      <c r="A315" t="s">
        <v>19</v>
      </c>
      <c r="B315" t="s">
        <v>26</v>
      </c>
      <c r="C315">
        <v>2015</v>
      </c>
      <c r="D315" t="s">
        <v>14</v>
      </c>
      <c r="E315" t="s">
        <v>15</v>
      </c>
      <c r="F315" t="s">
        <v>16</v>
      </c>
      <c r="G315">
        <v>350</v>
      </c>
      <c r="H315" t="s">
        <v>28</v>
      </c>
      <c r="I315" s="3">
        <v>27000</v>
      </c>
      <c r="J315" t="s">
        <v>50</v>
      </c>
    </row>
    <row r="316" spans="1:10" x14ac:dyDescent="0.2">
      <c r="A316" t="s">
        <v>19</v>
      </c>
      <c r="B316" t="s">
        <v>26</v>
      </c>
      <c r="C316">
        <v>2016</v>
      </c>
      <c r="D316" t="s">
        <v>14</v>
      </c>
      <c r="E316" t="s">
        <v>15</v>
      </c>
      <c r="F316" t="s">
        <v>16</v>
      </c>
      <c r="G316">
        <v>350</v>
      </c>
      <c r="H316" t="s">
        <v>28</v>
      </c>
      <c r="I316" s="3">
        <f>I315*1.05</f>
        <v>28350</v>
      </c>
      <c r="J316" t="s">
        <v>50</v>
      </c>
    </row>
    <row r="317" spans="1:10" x14ac:dyDescent="0.2">
      <c r="A317" t="s">
        <v>19</v>
      </c>
      <c r="B317" t="s">
        <v>26</v>
      </c>
      <c r="C317">
        <v>2017</v>
      </c>
      <c r="D317" t="s">
        <v>14</v>
      </c>
      <c r="E317" t="s">
        <v>15</v>
      </c>
      <c r="F317" t="s">
        <v>16</v>
      </c>
      <c r="G317">
        <v>350</v>
      </c>
      <c r="H317" t="s">
        <v>28</v>
      </c>
      <c r="I317" s="3">
        <f t="shared" ref="I317:I318" si="74">I316*1.05</f>
        <v>29767.5</v>
      </c>
      <c r="J317" t="s">
        <v>50</v>
      </c>
    </row>
    <row r="318" spans="1:10" x14ac:dyDescent="0.2">
      <c r="A318" t="s">
        <v>19</v>
      </c>
      <c r="B318" t="s">
        <v>26</v>
      </c>
      <c r="C318">
        <v>2018</v>
      </c>
      <c r="D318" t="s">
        <v>14</v>
      </c>
      <c r="E318" t="s">
        <v>15</v>
      </c>
      <c r="F318" t="s">
        <v>16</v>
      </c>
      <c r="G318">
        <v>350</v>
      </c>
      <c r="H318" t="s">
        <v>28</v>
      </c>
      <c r="I318" s="3">
        <f t="shared" si="74"/>
        <v>31255.875</v>
      </c>
      <c r="J318" t="s">
        <v>50</v>
      </c>
    </row>
    <row r="319" spans="1:10" hidden="1" x14ac:dyDescent="0.2">
      <c r="A319" t="s">
        <v>21</v>
      </c>
      <c r="B319" t="s">
        <v>26</v>
      </c>
      <c r="C319">
        <v>2015</v>
      </c>
      <c r="D319" t="s">
        <v>14</v>
      </c>
      <c r="E319" t="s">
        <v>15</v>
      </c>
      <c r="F319" t="s">
        <v>16</v>
      </c>
      <c r="G319">
        <v>355</v>
      </c>
      <c r="H319" t="s">
        <v>29</v>
      </c>
      <c r="I319" s="3">
        <v>52000</v>
      </c>
      <c r="J319" t="s">
        <v>50</v>
      </c>
    </row>
    <row r="320" spans="1:10" hidden="1" x14ac:dyDescent="0.2">
      <c r="A320" t="s">
        <v>21</v>
      </c>
      <c r="B320" t="s">
        <v>26</v>
      </c>
      <c r="C320">
        <v>2016</v>
      </c>
      <c r="D320" t="s">
        <v>14</v>
      </c>
      <c r="E320" t="s">
        <v>15</v>
      </c>
      <c r="F320" t="s">
        <v>16</v>
      </c>
      <c r="G320">
        <v>355</v>
      </c>
      <c r="H320" t="s">
        <v>29</v>
      </c>
      <c r="I320" s="3">
        <f>I319*1.1</f>
        <v>57200.000000000007</v>
      </c>
      <c r="J320" t="s">
        <v>50</v>
      </c>
    </row>
    <row r="321" spans="1:10" hidden="1" x14ac:dyDescent="0.2">
      <c r="A321" t="s">
        <v>21</v>
      </c>
      <c r="B321" t="s">
        <v>26</v>
      </c>
      <c r="C321">
        <v>2017</v>
      </c>
      <c r="D321" t="s">
        <v>14</v>
      </c>
      <c r="E321" t="s">
        <v>15</v>
      </c>
      <c r="F321" t="s">
        <v>16</v>
      </c>
      <c r="G321">
        <v>355</v>
      </c>
      <c r="H321" t="s">
        <v>29</v>
      </c>
      <c r="I321" s="3">
        <f t="shared" ref="I321:I322" si="75">I320*1.1</f>
        <v>62920.000000000015</v>
      </c>
      <c r="J321" t="s">
        <v>50</v>
      </c>
    </row>
    <row r="322" spans="1:10" hidden="1" x14ac:dyDescent="0.2">
      <c r="A322" t="s">
        <v>21</v>
      </c>
      <c r="B322" t="s">
        <v>26</v>
      </c>
      <c r="C322">
        <v>2018</v>
      </c>
      <c r="D322" t="s">
        <v>14</v>
      </c>
      <c r="E322" t="s">
        <v>15</v>
      </c>
      <c r="F322" t="s">
        <v>16</v>
      </c>
      <c r="G322">
        <v>355</v>
      </c>
      <c r="H322" t="s">
        <v>29</v>
      </c>
      <c r="I322" s="3">
        <f t="shared" si="75"/>
        <v>69212.000000000015</v>
      </c>
      <c r="J322" t="s">
        <v>50</v>
      </c>
    </row>
    <row r="323" spans="1:10" hidden="1" x14ac:dyDescent="0.2">
      <c r="A323" t="s">
        <v>23</v>
      </c>
      <c r="B323" t="s">
        <v>26</v>
      </c>
      <c r="C323">
        <v>2015</v>
      </c>
      <c r="D323" t="s">
        <v>24</v>
      </c>
      <c r="E323" t="s">
        <v>15</v>
      </c>
      <c r="F323" t="s">
        <v>16</v>
      </c>
      <c r="G323">
        <v>138</v>
      </c>
      <c r="H323" t="s">
        <v>30</v>
      </c>
      <c r="I323" s="3">
        <v>15295</v>
      </c>
      <c r="J323" t="s">
        <v>50</v>
      </c>
    </row>
    <row r="324" spans="1:10" hidden="1" x14ac:dyDescent="0.2">
      <c r="A324" t="s">
        <v>23</v>
      </c>
      <c r="B324" t="s">
        <v>26</v>
      </c>
      <c r="C324">
        <v>2016</v>
      </c>
      <c r="D324" t="s">
        <v>24</v>
      </c>
      <c r="E324" t="s">
        <v>15</v>
      </c>
      <c r="F324" t="s">
        <v>16</v>
      </c>
      <c r="G324">
        <v>138</v>
      </c>
      <c r="H324" t="s">
        <v>30</v>
      </c>
      <c r="I324" s="3">
        <f>I323*1.1</f>
        <v>16824.5</v>
      </c>
      <c r="J324" t="s">
        <v>50</v>
      </c>
    </row>
    <row r="325" spans="1:10" hidden="1" x14ac:dyDescent="0.2">
      <c r="A325" t="s">
        <v>23</v>
      </c>
      <c r="B325" t="s">
        <v>26</v>
      </c>
      <c r="C325">
        <v>2017</v>
      </c>
      <c r="D325" t="s">
        <v>24</v>
      </c>
      <c r="E325" t="s">
        <v>15</v>
      </c>
      <c r="F325" t="s">
        <v>16</v>
      </c>
      <c r="G325">
        <v>138</v>
      </c>
      <c r="H325" t="s">
        <v>30</v>
      </c>
      <c r="I325" s="3">
        <f t="shared" ref="I325:I326" si="76">I324*1.1</f>
        <v>18506.95</v>
      </c>
      <c r="J325" t="s">
        <v>50</v>
      </c>
    </row>
    <row r="326" spans="1:10" hidden="1" x14ac:dyDescent="0.2">
      <c r="A326" t="s">
        <v>23</v>
      </c>
      <c r="B326" t="s">
        <v>26</v>
      </c>
      <c r="C326">
        <v>2018</v>
      </c>
      <c r="D326" t="s">
        <v>24</v>
      </c>
      <c r="E326" t="s">
        <v>15</v>
      </c>
      <c r="F326" t="s">
        <v>16</v>
      </c>
      <c r="G326">
        <v>138</v>
      </c>
      <c r="H326" t="s">
        <v>30</v>
      </c>
      <c r="I326" s="3">
        <f t="shared" si="76"/>
        <v>20357.645000000004</v>
      </c>
      <c r="J326" t="s">
        <v>50</v>
      </c>
    </row>
    <row r="327" spans="1:10" hidden="1" x14ac:dyDescent="0.2">
      <c r="A327" t="s">
        <v>12</v>
      </c>
      <c r="B327" t="s">
        <v>31</v>
      </c>
      <c r="C327">
        <v>2015</v>
      </c>
      <c r="D327" t="s">
        <v>32</v>
      </c>
      <c r="E327" t="s">
        <v>15</v>
      </c>
      <c r="F327" t="s">
        <v>16</v>
      </c>
      <c r="G327">
        <v>290</v>
      </c>
      <c r="H327" t="s">
        <v>33</v>
      </c>
      <c r="I327" s="3">
        <v>34900</v>
      </c>
      <c r="J327" t="s">
        <v>50</v>
      </c>
    </row>
    <row r="328" spans="1:10" hidden="1" x14ac:dyDescent="0.2">
      <c r="A328" t="s">
        <v>12</v>
      </c>
      <c r="B328" t="s">
        <v>31</v>
      </c>
      <c r="C328">
        <v>2016</v>
      </c>
      <c r="D328" t="s">
        <v>32</v>
      </c>
      <c r="E328" t="s">
        <v>15</v>
      </c>
      <c r="F328" t="s">
        <v>16</v>
      </c>
      <c r="G328">
        <v>290</v>
      </c>
      <c r="H328" t="s">
        <v>33</v>
      </c>
      <c r="I328" s="3">
        <f>34900*1.1</f>
        <v>38390</v>
      </c>
      <c r="J328" t="s">
        <v>50</v>
      </c>
    </row>
    <row r="329" spans="1:10" hidden="1" x14ac:dyDescent="0.2">
      <c r="A329" t="s">
        <v>12</v>
      </c>
      <c r="B329" t="s">
        <v>31</v>
      </c>
      <c r="C329">
        <v>2017</v>
      </c>
      <c r="D329" t="s">
        <v>32</v>
      </c>
      <c r="E329" t="s">
        <v>15</v>
      </c>
      <c r="F329" t="s">
        <v>16</v>
      </c>
      <c r="G329">
        <v>290</v>
      </c>
      <c r="H329" t="s">
        <v>33</v>
      </c>
      <c r="I329" s="3">
        <f t="shared" ref="I329:I330" si="77">34900*1.1</f>
        <v>38390</v>
      </c>
      <c r="J329" t="s">
        <v>50</v>
      </c>
    </row>
    <row r="330" spans="1:10" hidden="1" x14ac:dyDescent="0.2">
      <c r="A330" t="s">
        <v>12</v>
      </c>
      <c r="B330" t="s">
        <v>31</v>
      </c>
      <c r="C330">
        <v>2018</v>
      </c>
      <c r="D330" t="s">
        <v>32</v>
      </c>
      <c r="E330" t="s">
        <v>15</v>
      </c>
      <c r="F330" t="s">
        <v>16</v>
      </c>
      <c r="G330">
        <v>290</v>
      </c>
      <c r="H330" t="s">
        <v>33</v>
      </c>
      <c r="I330" s="3">
        <f t="shared" si="77"/>
        <v>38390</v>
      </c>
      <c r="J330" t="s">
        <v>50</v>
      </c>
    </row>
    <row r="331" spans="1:10" hidden="1" x14ac:dyDescent="0.2">
      <c r="A331" t="s">
        <v>12</v>
      </c>
      <c r="B331" t="s">
        <v>31</v>
      </c>
      <c r="C331">
        <v>2015</v>
      </c>
      <c r="D331" t="s">
        <v>32</v>
      </c>
      <c r="E331" t="s">
        <v>34</v>
      </c>
      <c r="F331" t="s">
        <v>16</v>
      </c>
      <c r="G331">
        <v>335</v>
      </c>
      <c r="H331" t="s">
        <v>35</v>
      </c>
      <c r="I331" s="3">
        <v>52650</v>
      </c>
      <c r="J331" t="s">
        <v>50</v>
      </c>
    </row>
    <row r="332" spans="1:10" hidden="1" x14ac:dyDescent="0.2">
      <c r="A332" t="s">
        <v>12</v>
      </c>
      <c r="B332" t="s">
        <v>31</v>
      </c>
      <c r="C332">
        <v>2016</v>
      </c>
      <c r="D332" t="s">
        <v>32</v>
      </c>
      <c r="E332" t="s">
        <v>34</v>
      </c>
      <c r="F332" t="s">
        <v>16</v>
      </c>
      <c r="G332">
        <v>335</v>
      </c>
      <c r="H332" t="s">
        <v>35</v>
      </c>
      <c r="I332" s="3">
        <f>52650*1.1</f>
        <v>57915.000000000007</v>
      </c>
      <c r="J332" t="s">
        <v>50</v>
      </c>
    </row>
    <row r="333" spans="1:10" hidden="1" x14ac:dyDescent="0.2">
      <c r="A333" t="s">
        <v>12</v>
      </c>
      <c r="B333" t="s">
        <v>31</v>
      </c>
      <c r="C333">
        <v>2017</v>
      </c>
      <c r="D333" t="s">
        <v>32</v>
      </c>
      <c r="E333" t="s">
        <v>34</v>
      </c>
      <c r="F333" t="s">
        <v>16</v>
      </c>
      <c r="G333">
        <v>335</v>
      </c>
      <c r="H333" t="s">
        <v>35</v>
      </c>
      <c r="I333" s="3">
        <f t="shared" ref="I333:I334" si="78">52650*1.1</f>
        <v>57915.000000000007</v>
      </c>
      <c r="J333" t="s">
        <v>50</v>
      </c>
    </row>
    <row r="334" spans="1:10" hidden="1" x14ac:dyDescent="0.2">
      <c r="A334" t="s">
        <v>12</v>
      </c>
      <c r="B334" t="s">
        <v>31</v>
      </c>
      <c r="C334">
        <v>2018</v>
      </c>
      <c r="D334" t="s">
        <v>32</v>
      </c>
      <c r="E334" t="s">
        <v>34</v>
      </c>
      <c r="F334" t="s">
        <v>16</v>
      </c>
      <c r="G334">
        <v>335</v>
      </c>
      <c r="H334" t="s">
        <v>35</v>
      </c>
      <c r="I334" s="3">
        <f t="shared" si="78"/>
        <v>57915.000000000007</v>
      </c>
      <c r="J334" t="s">
        <v>50</v>
      </c>
    </row>
    <row r="335" spans="1:10" hidden="1" x14ac:dyDescent="0.2">
      <c r="A335" t="s">
        <v>12</v>
      </c>
      <c r="B335" t="s">
        <v>31</v>
      </c>
      <c r="C335">
        <v>2015</v>
      </c>
      <c r="D335" t="s">
        <v>32</v>
      </c>
      <c r="E335" t="s">
        <v>34</v>
      </c>
      <c r="F335" t="s">
        <v>16</v>
      </c>
      <c r="G335">
        <v>420</v>
      </c>
      <c r="H335" t="s">
        <v>36</v>
      </c>
      <c r="I335" s="3">
        <v>83650</v>
      </c>
      <c r="J335" t="s">
        <v>50</v>
      </c>
    </row>
    <row r="336" spans="1:10" hidden="1" x14ac:dyDescent="0.2">
      <c r="A336" t="s">
        <v>12</v>
      </c>
      <c r="B336" t="s">
        <v>31</v>
      </c>
      <c r="C336">
        <v>2016</v>
      </c>
      <c r="D336" t="s">
        <v>32</v>
      </c>
      <c r="E336" t="s">
        <v>34</v>
      </c>
      <c r="F336" t="s">
        <v>16</v>
      </c>
      <c r="G336">
        <v>420</v>
      </c>
      <c r="H336" t="s">
        <v>36</v>
      </c>
      <c r="I336" s="3">
        <f>83650*1.1</f>
        <v>92015.000000000015</v>
      </c>
      <c r="J336" t="s">
        <v>50</v>
      </c>
    </row>
    <row r="337" spans="1:10" hidden="1" x14ac:dyDescent="0.2">
      <c r="A337" t="s">
        <v>12</v>
      </c>
      <c r="B337" t="s">
        <v>31</v>
      </c>
      <c r="C337">
        <v>2017</v>
      </c>
      <c r="D337" t="s">
        <v>32</v>
      </c>
      <c r="E337" t="s">
        <v>34</v>
      </c>
      <c r="F337" t="s">
        <v>16</v>
      </c>
      <c r="G337">
        <v>420</v>
      </c>
      <c r="H337" t="s">
        <v>36</v>
      </c>
      <c r="I337" s="3">
        <f t="shared" ref="I337:I338" si="79">83650*1.1</f>
        <v>92015.000000000015</v>
      </c>
      <c r="J337" t="s">
        <v>50</v>
      </c>
    </row>
    <row r="338" spans="1:10" hidden="1" x14ac:dyDescent="0.2">
      <c r="A338" t="s">
        <v>12</v>
      </c>
      <c r="B338" t="s">
        <v>31</v>
      </c>
      <c r="C338">
        <v>2018</v>
      </c>
      <c r="D338" t="s">
        <v>32</v>
      </c>
      <c r="E338" t="s">
        <v>34</v>
      </c>
      <c r="F338" t="s">
        <v>16</v>
      </c>
      <c r="G338">
        <v>420</v>
      </c>
      <c r="H338" t="s">
        <v>36</v>
      </c>
      <c r="I338" s="3">
        <f t="shared" si="79"/>
        <v>92015.000000000015</v>
      </c>
      <c r="J338" t="s">
        <v>50</v>
      </c>
    </row>
    <row r="339" spans="1:10" hidden="1" x14ac:dyDescent="0.2">
      <c r="A339" t="s">
        <v>12</v>
      </c>
      <c r="B339" t="s">
        <v>37</v>
      </c>
      <c r="C339">
        <v>2015</v>
      </c>
      <c r="D339" t="s">
        <v>32</v>
      </c>
      <c r="E339" t="s">
        <v>15</v>
      </c>
      <c r="F339" t="s">
        <v>16</v>
      </c>
      <c r="G339">
        <v>190</v>
      </c>
      <c r="H339" t="s">
        <v>38</v>
      </c>
      <c r="I339" s="3">
        <v>36000</v>
      </c>
      <c r="J339" t="s">
        <v>50</v>
      </c>
    </row>
    <row r="340" spans="1:10" hidden="1" x14ac:dyDescent="0.2">
      <c r="A340" t="s">
        <v>12</v>
      </c>
      <c r="B340" t="s">
        <v>37</v>
      </c>
      <c r="C340">
        <v>2016</v>
      </c>
      <c r="D340" t="s">
        <v>32</v>
      </c>
      <c r="E340" t="s">
        <v>15</v>
      </c>
      <c r="F340" t="s">
        <v>16</v>
      </c>
      <c r="G340">
        <v>190</v>
      </c>
      <c r="H340" t="s">
        <v>38</v>
      </c>
      <c r="I340" s="3">
        <f>I339*1.1</f>
        <v>39600</v>
      </c>
      <c r="J340" t="s">
        <v>50</v>
      </c>
    </row>
    <row r="341" spans="1:10" hidden="1" x14ac:dyDescent="0.2">
      <c r="A341" t="s">
        <v>12</v>
      </c>
      <c r="B341" t="s">
        <v>37</v>
      </c>
      <c r="C341">
        <v>2017</v>
      </c>
      <c r="D341" t="s">
        <v>32</v>
      </c>
      <c r="E341" t="s">
        <v>15</v>
      </c>
      <c r="F341" t="s">
        <v>16</v>
      </c>
      <c r="G341">
        <v>190</v>
      </c>
      <c r="H341" t="s">
        <v>38</v>
      </c>
      <c r="I341" s="3">
        <f t="shared" ref="I341:I342" si="80">I340*1.1</f>
        <v>43560</v>
      </c>
      <c r="J341" t="s">
        <v>50</v>
      </c>
    </row>
    <row r="342" spans="1:10" hidden="1" x14ac:dyDescent="0.2">
      <c r="A342" t="s">
        <v>12</v>
      </c>
      <c r="B342" t="s">
        <v>37</v>
      </c>
      <c r="C342">
        <v>2018</v>
      </c>
      <c r="D342" t="s">
        <v>32</v>
      </c>
      <c r="E342" t="s">
        <v>15</v>
      </c>
      <c r="F342" t="s">
        <v>16</v>
      </c>
      <c r="G342">
        <v>190</v>
      </c>
      <c r="H342" t="s">
        <v>38</v>
      </c>
      <c r="I342" s="3">
        <f t="shared" si="80"/>
        <v>47916.000000000007</v>
      </c>
      <c r="J342" t="s">
        <v>50</v>
      </c>
    </row>
    <row r="343" spans="1:10" hidden="1" x14ac:dyDescent="0.2">
      <c r="A343" t="s">
        <v>19</v>
      </c>
      <c r="B343" t="s">
        <v>37</v>
      </c>
      <c r="C343">
        <v>2015</v>
      </c>
      <c r="D343" t="s">
        <v>32</v>
      </c>
      <c r="E343" t="s">
        <v>15</v>
      </c>
      <c r="F343" t="s">
        <v>16</v>
      </c>
      <c r="G343">
        <v>252</v>
      </c>
      <c r="H343" t="s">
        <v>35</v>
      </c>
      <c r="I343" s="3">
        <v>42600</v>
      </c>
      <c r="J343" t="s">
        <v>50</v>
      </c>
    </row>
    <row r="344" spans="1:10" hidden="1" x14ac:dyDescent="0.2">
      <c r="A344" t="s">
        <v>19</v>
      </c>
      <c r="B344" t="s">
        <v>37</v>
      </c>
      <c r="C344">
        <v>2016</v>
      </c>
      <c r="D344" t="s">
        <v>32</v>
      </c>
      <c r="E344" t="s">
        <v>15</v>
      </c>
      <c r="F344" t="s">
        <v>16</v>
      </c>
      <c r="G344">
        <v>252</v>
      </c>
      <c r="H344" t="s">
        <v>35</v>
      </c>
      <c r="I344" s="3">
        <f>42600*1.1</f>
        <v>46860.000000000007</v>
      </c>
      <c r="J344" t="s">
        <v>50</v>
      </c>
    </row>
    <row r="345" spans="1:10" hidden="1" x14ac:dyDescent="0.2">
      <c r="A345" t="s">
        <v>19</v>
      </c>
      <c r="B345" t="s">
        <v>37</v>
      </c>
      <c r="C345">
        <v>2017</v>
      </c>
      <c r="D345" t="s">
        <v>32</v>
      </c>
      <c r="E345" t="s">
        <v>15</v>
      </c>
      <c r="F345" t="s">
        <v>16</v>
      </c>
      <c r="G345">
        <v>252</v>
      </c>
      <c r="H345" t="s">
        <v>35</v>
      </c>
      <c r="I345" s="3">
        <f t="shared" ref="I345:I346" si="81">42600*1.1</f>
        <v>46860.000000000007</v>
      </c>
      <c r="J345" t="s">
        <v>50</v>
      </c>
    </row>
    <row r="346" spans="1:10" hidden="1" x14ac:dyDescent="0.2">
      <c r="A346" t="s">
        <v>19</v>
      </c>
      <c r="B346" t="s">
        <v>37</v>
      </c>
      <c r="C346">
        <v>2018</v>
      </c>
      <c r="D346" t="s">
        <v>32</v>
      </c>
      <c r="E346" t="s">
        <v>15</v>
      </c>
      <c r="F346" t="s">
        <v>16</v>
      </c>
      <c r="G346">
        <v>252</v>
      </c>
      <c r="H346" t="s">
        <v>35</v>
      </c>
      <c r="I346" s="3">
        <f t="shared" si="81"/>
        <v>46860.000000000007</v>
      </c>
      <c r="J346" t="s">
        <v>50</v>
      </c>
    </row>
    <row r="347" spans="1:10" hidden="1" x14ac:dyDescent="0.2">
      <c r="A347" t="s">
        <v>21</v>
      </c>
      <c r="B347" t="s">
        <v>37</v>
      </c>
      <c r="C347">
        <v>2015</v>
      </c>
      <c r="D347" t="s">
        <v>32</v>
      </c>
      <c r="E347" t="s">
        <v>15</v>
      </c>
      <c r="F347" t="s">
        <v>16</v>
      </c>
      <c r="G347">
        <v>252</v>
      </c>
      <c r="H347" t="s">
        <v>39</v>
      </c>
      <c r="I347" s="3">
        <v>41500</v>
      </c>
      <c r="J347" t="s">
        <v>50</v>
      </c>
    </row>
    <row r="348" spans="1:10" hidden="1" x14ac:dyDescent="0.2">
      <c r="A348" t="s">
        <v>21</v>
      </c>
      <c r="B348" t="s">
        <v>37</v>
      </c>
      <c r="C348">
        <v>2016</v>
      </c>
      <c r="D348" t="s">
        <v>32</v>
      </c>
      <c r="E348" t="s">
        <v>15</v>
      </c>
      <c r="F348" t="s">
        <v>16</v>
      </c>
      <c r="G348">
        <v>252</v>
      </c>
      <c r="H348" t="s">
        <v>39</v>
      </c>
      <c r="I348" s="3">
        <f>41500*1.1</f>
        <v>45650.000000000007</v>
      </c>
      <c r="J348" t="s">
        <v>50</v>
      </c>
    </row>
    <row r="349" spans="1:10" hidden="1" x14ac:dyDescent="0.2">
      <c r="A349" t="s">
        <v>21</v>
      </c>
      <c r="B349" t="s">
        <v>37</v>
      </c>
      <c r="C349">
        <v>2017</v>
      </c>
      <c r="D349" t="s">
        <v>32</v>
      </c>
      <c r="E349" t="s">
        <v>15</v>
      </c>
      <c r="F349" t="s">
        <v>16</v>
      </c>
      <c r="G349">
        <v>252</v>
      </c>
      <c r="H349" t="s">
        <v>39</v>
      </c>
      <c r="I349" s="3">
        <f t="shared" ref="I349:I350" si="82">41500*1.1</f>
        <v>45650.000000000007</v>
      </c>
      <c r="J349" t="s">
        <v>50</v>
      </c>
    </row>
    <row r="350" spans="1:10" hidden="1" x14ac:dyDescent="0.2">
      <c r="A350" t="s">
        <v>21</v>
      </c>
      <c r="B350" t="s">
        <v>37</v>
      </c>
      <c r="C350">
        <v>2018</v>
      </c>
      <c r="D350" t="s">
        <v>32</v>
      </c>
      <c r="E350" t="s">
        <v>15</v>
      </c>
      <c r="F350" t="s">
        <v>16</v>
      </c>
      <c r="G350">
        <v>252</v>
      </c>
      <c r="H350" t="s">
        <v>39</v>
      </c>
      <c r="I350" s="3">
        <f t="shared" si="82"/>
        <v>45650.000000000007</v>
      </c>
      <c r="J350" t="s">
        <v>50</v>
      </c>
    </row>
    <row r="351" spans="1:10" hidden="1" x14ac:dyDescent="0.2">
      <c r="A351" t="s">
        <v>21</v>
      </c>
      <c r="B351" t="s">
        <v>37</v>
      </c>
      <c r="C351">
        <v>2015</v>
      </c>
      <c r="D351" t="s">
        <v>24</v>
      </c>
      <c r="E351" t="s">
        <v>15</v>
      </c>
      <c r="F351" t="s">
        <v>16</v>
      </c>
      <c r="G351">
        <v>200</v>
      </c>
      <c r="H351" t="s">
        <v>40</v>
      </c>
      <c r="I351" s="3">
        <v>30000</v>
      </c>
      <c r="J351" t="s">
        <v>50</v>
      </c>
    </row>
    <row r="352" spans="1:10" hidden="1" x14ac:dyDescent="0.2">
      <c r="A352" t="s">
        <v>21</v>
      </c>
      <c r="B352" t="s">
        <v>37</v>
      </c>
      <c r="C352">
        <v>2016</v>
      </c>
      <c r="D352" t="s">
        <v>24</v>
      </c>
      <c r="E352" t="s">
        <v>15</v>
      </c>
      <c r="F352" t="s">
        <v>16</v>
      </c>
      <c r="G352">
        <v>200</v>
      </c>
      <c r="H352" t="s">
        <v>40</v>
      </c>
      <c r="I352" s="3">
        <f>I351*1.1</f>
        <v>33000</v>
      </c>
      <c r="J352" t="s">
        <v>50</v>
      </c>
    </row>
    <row r="353" spans="1:10" hidden="1" x14ac:dyDescent="0.2">
      <c r="A353" t="s">
        <v>21</v>
      </c>
      <c r="B353" t="s">
        <v>37</v>
      </c>
      <c r="C353">
        <v>2017</v>
      </c>
      <c r="D353" t="s">
        <v>24</v>
      </c>
      <c r="E353" t="s">
        <v>15</v>
      </c>
      <c r="F353" t="s">
        <v>16</v>
      </c>
      <c r="G353">
        <v>200</v>
      </c>
      <c r="H353" t="s">
        <v>40</v>
      </c>
      <c r="I353" s="3">
        <f t="shared" ref="I353:I354" si="83">I352*1.1</f>
        <v>36300</v>
      </c>
      <c r="J353" t="s">
        <v>50</v>
      </c>
    </row>
    <row r="354" spans="1:10" hidden="1" x14ac:dyDescent="0.2">
      <c r="A354" t="s">
        <v>21</v>
      </c>
      <c r="B354" t="s">
        <v>37</v>
      </c>
      <c r="C354">
        <v>2018</v>
      </c>
      <c r="D354" t="s">
        <v>24</v>
      </c>
      <c r="E354" t="s">
        <v>15</v>
      </c>
      <c r="F354" t="s">
        <v>16</v>
      </c>
      <c r="G354">
        <v>200</v>
      </c>
      <c r="H354" t="s">
        <v>40</v>
      </c>
      <c r="I354" s="3">
        <f t="shared" si="83"/>
        <v>39930</v>
      </c>
      <c r="J354" t="s">
        <v>50</v>
      </c>
    </row>
    <row r="355" spans="1:10" hidden="1" x14ac:dyDescent="0.2">
      <c r="A355" t="s">
        <v>12</v>
      </c>
      <c r="B355" t="s">
        <v>41</v>
      </c>
      <c r="C355">
        <v>2015</v>
      </c>
      <c r="D355" t="s">
        <v>14</v>
      </c>
      <c r="E355" t="s">
        <v>15</v>
      </c>
      <c r="F355" t="s">
        <v>16</v>
      </c>
      <c r="G355">
        <v>240</v>
      </c>
      <c r="H355" t="s">
        <v>30</v>
      </c>
      <c r="I355" s="3">
        <v>22050</v>
      </c>
      <c r="J355" t="s">
        <v>50</v>
      </c>
    </row>
    <row r="356" spans="1:10" hidden="1" x14ac:dyDescent="0.2">
      <c r="A356" t="s">
        <v>12</v>
      </c>
      <c r="B356" t="s">
        <v>41</v>
      </c>
      <c r="C356">
        <v>2016</v>
      </c>
      <c r="D356" t="s">
        <v>14</v>
      </c>
      <c r="E356" t="s">
        <v>15</v>
      </c>
      <c r="F356" t="s">
        <v>16</v>
      </c>
      <c r="G356">
        <v>240</v>
      </c>
      <c r="H356" t="s">
        <v>30</v>
      </c>
      <c r="I356" s="3">
        <f>I355*1.1</f>
        <v>24255.000000000004</v>
      </c>
      <c r="J356" t="s">
        <v>50</v>
      </c>
    </row>
    <row r="357" spans="1:10" hidden="1" x14ac:dyDescent="0.2">
      <c r="A357" t="s">
        <v>12</v>
      </c>
      <c r="B357" t="s">
        <v>41</v>
      </c>
      <c r="C357">
        <v>2017</v>
      </c>
      <c r="D357" t="s">
        <v>14</v>
      </c>
      <c r="E357" t="s">
        <v>15</v>
      </c>
      <c r="F357" t="s">
        <v>16</v>
      </c>
      <c r="G357">
        <v>240</v>
      </c>
      <c r="H357" t="s">
        <v>30</v>
      </c>
      <c r="I357" s="3">
        <f t="shared" ref="I357:I358" si="84">I356*1.1</f>
        <v>26680.500000000007</v>
      </c>
      <c r="J357" t="s">
        <v>50</v>
      </c>
    </row>
    <row r="358" spans="1:10" hidden="1" x14ac:dyDescent="0.2">
      <c r="A358" t="s">
        <v>12</v>
      </c>
      <c r="B358" t="s">
        <v>41</v>
      </c>
      <c r="C358">
        <v>2018</v>
      </c>
      <c r="D358" t="s">
        <v>14</v>
      </c>
      <c r="E358" t="s">
        <v>15</v>
      </c>
      <c r="F358" t="s">
        <v>16</v>
      </c>
      <c r="G358">
        <v>240</v>
      </c>
      <c r="H358" t="s">
        <v>30</v>
      </c>
      <c r="I358" s="3">
        <f t="shared" si="84"/>
        <v>29348.55000000001</v>
      </c>
      <c r="J358" t="s">
        <v>50</v>
      </c>
    </row>
    <row r="359" spans="1:10" hidden="1" x14ac:dyDescent="0.2">
      <c r="A359" t="s">
        <v>19</v>
      </c>
      <c r="B359" t="s">
        <v>41</v>
      </c>
      <c r="C359">
        <v>2015</v>
      </c>
      <c r="D359" t="s">
        <v>14</v>
      </c>
      <c r="E359" t="s">
        <v>15</v>
      </c>
      <c r="F359" t="s">
        <v>16</v>
      </c>
      <c r="G359">
        <v>320</v>
      </c>
      <c r="H359" t="s">
        <v>42</v>
      </c>
      <c r="I359" s="3">
        <v>23000</v>
      </c>
      <c r="J359" t="s">
        <v>50</v>
      </c>
    </row>
    <row r="360" spans="1:10" hidden="1" x14ac:dyDescent="0.2">
      <c r="A360" t="s">
        <v>19</v>
      </c>
      <c r="B360" t="s">
        <v>41</v>
      </c>
      <c r="C360">
        <v>2016</v>
      </c>
      <c r="D360" t="s">
        <v>14</v>
      </c>
      <c r="E360" t="s">
        <v>15</v>
      </c>
      <c r="F360" t="s">
        <v>16</v>
      </c>
      <c r="G360">
        <v>320</v>
      </c>
      <c r="H360" t="s">
        <v>42</v>
      </c>
      <c r="I360" s="3">
        <f>I359*1.1</f>
        <v>25300.000000000004</v>
      </c>
      <c r="J360" t="s">
        <v>50</v>
      </c>
    </row>
    <row r="361" spans="1:10" hidden="1" x14ac:dyDescent="0.2">
      <c r="A361" t="s">
        <v>19</v>
      </c>
      <c r="B361" t="s">
        <v>41</v>
      </c>
      <c r="C361">
        <v>2017</v>
      </c>
      <c r="D361" t="s">
        <v>14</v>
      </c>
      <c r="E361" t="s">
        <v>15</v>
      </c>
      <c r="F361" t="s">
        <v>16</v>
      </c>
      <c r="G361">
        <v>320</v>
      </c>
      <c r="H361" t="s">
        <v>42</v>
      </c>
      <c r="I361" s="3">
        <f t="shared" ref="I361:I362" si="85">I360*1.1</f>
        <v>27830.000000000007</v>
      </c>
      <c r="J361" t="s">
        <v>50</v>
      </c>
    </row>
    <row r="362" spans="1:10" hidden="1" x14ac:dyDescent="0.2">
      <c r="A362" t="s">
        <v>19</v>
      </c>
      <c r="B362" t="s">
        <v>41</v>
      </c>
      <c r="C362">
        <v>2018</v>
      </c>
      <c r="D362" t="s">
        <v>14</v>
      </c>
      <c r="E362" t="s">
        <v>15</v>
      </c>
      <c r="F362" t="s">
        <v>16</v>
      </c>
      <c r="G362">
        <v>320</v>
      </c>
      <c r="H362" t="s">
        <v>42</v>
      </c>
      <c r="I362" s="3">
        <f t="shared" si="85"/>
        <v>30613.000000000011</v>
      </c>
      <c r="J362" t="s">
        <v>50</v>
      </c>
    </row>
    <row r="363" spans="1:10" hidden="1" x14ac:dyDescent="0.2">
      <c r="A363" t="s">
        <v>21</v>
      </c>
      <c r="B363" t="s">
        <v>41</v>
      </c>
      <c r="C363">
        <v>2015</v>
      </c>
      <c r="D363" t="s">
        <v>14</v>
      </c>
      <c r="E363" t="s">
        <v>15</v>
      </c>
      <c r="F363" t="s">
        <v>16</v>
      </c>
      <c r="G363">
        <v>260</v>
      </c>
      <c r="H363" t="s">
        <v>43</v>
      </c>
      <c r="I363" s="3">
        <v>26000</v>
      </c>
      <c r="J363" t="s">
        <v>50</v>
      </c>
    </row>
    <row r="364" spans="1:10" hidden="1" x14ac:dyDescent="0.2">
      <c r="A364" t="s">
        <v>21</v>
      </c>
      <c r="B364" t="s">
        <v>41</v>
      </c>
      <c r="C364">
        <v>2016</v>
      </c>
      <c r="D364" t="s">
        <v>14</v>
      </c>
      <c r="E364" t="s">
        <v>15</v>
      </c>
      <c r="F364" t="s">
        <v>16</v>
      </c>
      <c r="G364">
        <v>260</v>
      </c>
      <c r="H364" t="s">
        <v>43</v>
      </c>
      <c r="I364" s="3">
        <f>I363*1.1</f>
        <v>28600.000000000004</v>
      </c>
      <c r="J364" t="s">
        <v>50</v>
      </c>
    </row>
    <row r="365" spans="1:10" hidden="1" x14ac:dyDescent="0.2">
      <c r="A365" t="s">
        <v>21</v>
      </c>
      <c r="B365" t="s">
        <v>41</v>
      </c>
      <c r="C365">
        <v>2017</v>
      </c>
      <c r="D365" t="s">
        <v>14</v>
      </c>
      <c r="E365" t="s">
        <v>15</v>
      </c>
      <c r="F365" t="s">
        <v>16</v>
      </c>
      <c r="G365">
        <v>260</v>
      </c>
      <c r="H365" t="s">
        <v>43</v>
      </c>
      <c r="I365" s="3">
        <f t="shared" ref="I365:I366" si="86">I364*1.1</f>
        <v>31460.000000000007</v>
      </c>
      <c r="J365" t="s">
        <v>50</v>
      </c>
    </row>
    <row r="366" spans="1:10" hidden="1" x14ac:dyDescent="0.2">
      <c r="A366" t="s">
        <v>21</v>
      </c>
      <c r="B366" t="s">
        <v>41</v>
      </c>
      <c r="C366">
        <v>2018</v>
      </c>
      <c r="D366" t="s">
        <v>14</v>
      </c>
      <c r="E366" t="s">
        <v>15</v>
      </c>
      <c r="F366" t="s">
        <v>16</v>
      </c>
      <c r="G366">
        <v>260</v>
      </c>
      <c r="H366" t="s">
        <v>43</v>
      </c>
      <c r="I366" s="3">
        <f t="shared" si="86"/>
        <v>34606.000000000007</v>
      </c>
      <c r="J366" t="s">
        <v>50</v>
      </c>
    </row>
    <row r="367" spans="1:10" hidden="1" x14ac:dyDescent="0.2">
      <c r="A367" t="s">
        <v>23</v>
      </c>
      <c r="B367" t="s">
        <v>41</v>
      </c>
      <c r="C367">
        <v>2015</v>
      </c>
      <c r="D367" t="s">
        <v>24</v>
      </c>
      <c r="E367" t="s">
        <v>15</v>
      </c>
      <c r="F367" t="s">
        <v>16</v>
      </c>
      <c r="G367">
        <v>130</v>
      </c>
      <c r="H367" t="s">
        <v>44</v>
      </c>
      <c r="I367" s="3">
        <v>14995</v>
      </c>
      <c r="J367" t="s">
        <v>50</v>
      </c>
    </row>
    <row r="368" spans="1:10" hidden="1" x14ac:dyDescent="0.2">
      <c r="A368" t="s">
        <v>23</v>
      </c>
      <c r="B368" t="s">
        <v>41</v>
      </c>
      <c r="C368">
        <v>2016</v>
      </c>
      <c r="D368" t="s">
        <v>24</v>
      </c>
      <c r="E368" t="s">
        <v>15</v>
      </c>
      <c r="F368" t="s">
        <v>16</v>
      </c>
      <c r="G368">
        <v>130</v>
      </c>
      <c r="H368" t="s">
        <v>44</v>
      </c>
      <c r="I368" s="3">
        <f>I367*1.1</f>
        <v>16494.5</v>
      </c>
      <c r="J368" t="s">
        <v>50</v>
      </c>
    </row>
    <row r="369" spans="1:10" hidden="1" x14ac:dyDescent="0.2">
      <c r="A369" t="s">
        <v>23</v>
      </c>
      <c r="B369" t="s">
        <v>41</v>
      </c>
      <c r="C369">
        <v>2017</v>
      </c>
      <c r="D369" t="s">
        <v>24</v>
      </c>
      <c r="E369" t="s">
        <v>15</v>
      </c>
      <c r="F369" t="s">
        <v>16</v>
      </c>
      <c r="G369">
        <v>130</v>
      </c>
      <c r="H369" t="s">
        <v>44</v>
      </c>
      <c r="I369" s="3">
        <f t="shared" ref="I369:I370" si="87">I368*1.1</f>
        <v>18143.95</v>
      </c>
      <c r="J369" t="s">
        <v>50</v>
      </c>
    </row>
    <row r="370" spans="1:10" hidden="1" x14ac:dyDescent="0.2">
      <c r="A370" t="s">
        <v>23</v>
      </c>
      <c r="B370" t="s">
        <v>41</v>
      </c>
      <c r="C370">
        <v>2018</v>
      </c>
      <c r="D370" t="s">
        <v>24</v>
      </c>
      <c r="E370" t="s">
        <v>15</v>
      </c>
      <c r="F370" t="s">
        <v>16</v>
      </c>
      <c r="G370">
        <v>130</v>
      </c>
      <c r="H370" t="s">
        <v>44</v>
      </c>
      <c r="I370" s="3">
        <f t="shared" si="87"/>
        <v>19958.345000000001</v>
      </c>
      <c r="J370" t="s">
        <v>50</v>
      </c>
    </row>
    <row r="371" spans="1:10" hidden="1" x14ac:dyDescent="0.2">
      <c r="A371" t="s">
        <v>12</v>
      </c>
      <c r="B371" t="s">
        <v>45</v>
      </c>
      <c r="C371">
        <v>2015</v>
      </c>
      <c r="D371" t="s">
        <v>32</v>
      </c>
      <c r="E371" t="s">
        <v>15</v>
      </c>
      <c r="F371" t="s">
        <v>16</v>
      </c>
      <c r="G371">
        <v>275</v>
      </c>
      <c r="H371" t="s">
        <v>46</v>
      </c>
      <c r="I371" s="3">
        <v>38210</v>
      </c>
      <c r="J371" t="s">
        <v>50</v>
      </c>
    </row>
    <row r="372" spans="1:10" hidden="1" x14ac:dyDescent="0.2">
      <c r="A372" t="s">
        <v>12</v>
      </c>
      <c r="B372" t="s">
        <v>45</v>
      </c>
      <c r="C372">
        <v>2016</v>
      </c>
      <c r="D372" t="s">
        <v>32</v>
      </c>
      <c r="E372" t="s">
        <v>15</v>
      </c>
      <c r="F372" t="s">
        <v>16</v>
      </c>
      <c r="G372">
        <v>275</v>
      </c>
      <c r="H372" t="s">
        <v>46</v>
      </c>
      <c r="I372" s="3">
        <f>I371*1.1</f>
        <v>42031</v>
      </c>
      <c r="J372" t="s">
        <v>50</v>
      </c>
    </row>
    <row r="373" spans="1:10" hidden="1" x14ac:dyDescent="0.2">
      <c r="A373" t="s">
        <v>12</v>
      </c>
      <c r="B373" t="s">
        <v>45</v>
      </c>
      <c r="C373">
        <v>2017</v>
      </c>
      <c r="D373" t="s">
        <v>32</v>
      </c>
      <c r="E373" t="s">
        <v>15</v>
      </c>
      <c r="F373" t="s">
        <v>16</v>
      </c>
      <c r="G373">
        <v>275</v>
      </c>
      <c r="H373" t="s">
        <v>46</v>
      </c>
      <c r="I373" s="3">
        <f t="shared" ref="I373:I374" si="88">I372*1.1</f>
        <v>46234.100000000006</v>
      </c>
      <c r="J373" t="s">
        <v>50</v>
      </c>
    </row>
    <row r="374" spans="1:10" hidden="1" x14ac:dyDescent="0.2">
      <c r="A374" t="s">
        <v>12</v>
      </c>
      <c r="B374" t="s">
        <v>45</v>
      </c>
      <c r="C374">
        <v>2018</v>
      </c>
      <c r="D374" t="s">
        <v>32</v>
      </c>
      <c r="E374" t="s">
        <v>15</v>
      </c>
      <c r="F374" t="s">
        <v>16</v>
      </c>
      <c r="G374">
        <v>275</v>
      </c>
      <c r="H374" t="s">
        <v>46</v>
      </c>
      <c r="I374" s="3">
        <f t="shared" si="88"/>
        <v>50857.510000000009</v>
      </c>
      <c r="J374" t="s">
        <v>50</v>
      </c>
    </row>
    <row r="375" spans="1:10" hidden="1" x14ac:dyDescent="0.2">
      <c r="A375" t="s">
        <v>19</v>
      </c>
      <c r="B375" t="s">
        <v>45</v>
      </c>
      <c r="C375">
        <v>2015</v>
      </c>
      <c r="D375" t="s">
        <v>32</v>
      </c>
      <c r="E375" t="s">
        <v>15</v>
      </c>
      <c r="F375" t="s">
        <v>16</v>
      </c>
      <c r="G375">
        <v>350</v>
      </c>
      <c r="H375" t="s">
        <v>46</v>
      </c>
      <c r="I375" s="3">
        <v>40640</v>
      </c>
      <c r="J375" t="s">
        <v>50</v>
      </c>
    </row>
    <row r="376" spans="1:10" hidden="1" x14ac:dyDescent="0.2">
      <c r="A376" t="s">
        <v>19</v>
      </c>
      <c r="B376" t="s">
        <v>45</v>
      </c>
      <c r="C376">
        <v>2016</v>
      </c>
      <c r="D376" t="s">
        <v>32</v>
      </c>
      <c r="E376" t="s">
        <v>15</v>
      </c>
      <c r="F376" t="s">
        <v>16</v>
      </c>
      <c r="G376">
        <v>350</v>
      </c>
      <c r="H376" t="s">
        <v>46</v>
      </c>
      <c r="I376" s="3">
        <f>I375*1.06</f>
        <v>43078.400000000001</v>
      </c>
      <c r="J376" t="s">
        <v>50</v>
      </c>
    </row>
    <row r="377" spans="1:10" hidden="1" x14ac:dyDescent="0.2">
      <c r="A377" t="s">
        <v>19</v>
      </c>
      <c r="B377" t="s">
        <v>45</v>
      </c>
      <c r="C377">
        <v>2017</v>
      </c>
      <c r="D377" t="s">
        <v>32</v>
      </c>
      <c r="E377" t="s">
        <v>15</v>
      </c>
      <c r="F377" t="s">
        <v>16</v>
      </c>
      <c r="G377">
        <v>350</v>
      </c>
      <c r="H377" t="s">
        <v>46</v>
      </c>
      <c r="I377" s="3">
        <f t="shared" ref="I377:I378" si="89">I376*1.06</f>
        <v>45663.104000000007</v>
      </c>
      <c r="J377" t="s">
        <v>50</v>
      </c>
    </row>
    <row r="378" spans="1:10" hidden="1" x14ac:dyDescent="0.2">
      <c r="A378" t="s">
        <v>19</v>
      </c>
      <c r="B378" t="s">
        <v>45</v>
      </c>
      <c r="C378">
        <v>2018</v>
      </c>
      <c r="D378" t="s">
        <v>32</v>
      </c>
      <c r="E378" t="s">
        <v>15</v>
      </c>
      <c r="F378" t="s">
        <v>16</v>
      </c>
      <c r="G378">
        <v>350</v>
      </c>
      <c r="H378" t="s">
        <v>46</v>
      </c>
      <c r="I378" s="3">
        <f t="shared" si="89"/>
        <v>48402.890240000008</v>
      </c>
      <c r="J378" t="s">
        <v>50</v>
      </c>
    </row>
    <row r="379" spans="1:10" hidden="1" x14ac:dyDescent="0.2">
      <c r="A379" t="s">
        <v>21</v>
      </c>
      <c r="B379" t="s">
        <v>45</v>
      </c>
      <c r="C379">
        <v>2015</v>
      </c>
      <c r="D379" t="s">
        <v>32</v>
      </c>
      <c r="E379" t="s">
        <v>15</v>
      </c>
      <c r="F379" t="s">
        <v>16</v>
      </c>
      <c r="G379">
        <v>295</v>
      </c>
      <c r="H379" t="s">
        <v>47</v>
      </c>
      <c r="I379" s="3">
        <v>43270</v>
      </c>
      <c r="J379" t="s">
        <v>50</v>
      </c>
    </row>
    <row r="380" spans="1:10" hidden="1" x14ac:dyDescent="0.2">
      <c r="A380" t="s">
        <v>21</v>
      </c>
      <c r="B380" t="s">
        <v>45</v>
      </c>
      <c r="C380">
        <v>2016</v>
      </c>
      <c r="D380" t="s">
        <v>32</v>
      </c>
      <c r="E380" t="s">
        <v>15</v>
      </c>
      <c r="F380" t="s">
        <v>16</v>
      </c>
      <c r="G380">
        <v>295</v>
      </c>
      <c r="H380" t="s">
        <v>47</v>
      </c>
      <c r="I380" s="3">
        <f>I379*1.06</f>
        <v>45866.200000000004</v>
      </c>
      <c r="J380" t="s">
        <v>50</v>
      </c>
    </row>
    <row r="381" spans="1:10" hidden="1" x14ac:dyDescent="0.2">
      <c r="A381" t="s">
        <v>21</v>
      </c>
      <c r="B381" t="s">
        <v>45</v>
      </c>
      <c r="C381">
        <v>2017</v>
      </c>
      <c r="D381" t="s">
        <v>32</v>
      </c>
      <c r="E381" t="s">
        <v>15</v>
      </c>
      <c r="F381" t="s">
        <v>16</v>
      </c>
      <c r="G381">
        <v>295</v>
      </c>
      <c r="H381" t="s">
        <v>47</v>
      </c>
      <c r="I381" s="3">
        <f t="shared" ref="I381:I382" si="90">I380*1.06</f>
        <v>48618.172000000006</v>
      </c>
      <c r="J381" t="s">
        <v>50</v>
      </c>
    </row>
    <row r="382" spans="1:10" hidden="1" x14ac:dyDescent="0.2">
      <c r="A382" t="s">
        <v>21</v>
      </c>
      <c r="B382" t="s">
        <v>45</v>
      </c>
      <c r="C382">
        <v>2018</v>
      </c>
      <c r="D382" t="s">
        <v>32</v>
      </c>
      <c r="E382" t="s">
        <v>15</v>
      </c>
      <c r="F382" t="s">
        <v>16</v>
      </c>
      <c r="G382">
        <v>295</v>
      </c>
      <c r="H382" t="s">
        <v>47</v>
      </c>
      <c r="I382" s="3">
        <f t="shared" si="90"/>
        <v>51535.262320000009</v>
      </c>
      <c r="J382" t="s">
        <v>50</v>
      </c>
    </row>
    <row r="383" spans="1:10" hidden="1" x14ac:dyDescent="0.2">
      <c r="A383" t="s">
        <v>23</v>
      </c>
      <c r="B383" t="s">
        <v>45</v>
      </c>
      <c r="C383">
        <v>2015</v>
      </c>
      <c r="D383" t="s">
        <v>24</v>
      </c>
      <c r="E383" t="s">
        <v>15</v>
      </c>
      <c r="F383" t="s">
        <v>16</v>
      </c>
      <c r="G383">
        <v>134</v>
      </c>
      <c r="H383" t="s">
        <v>48</v>
      </c>
      <c r="I383" s="3">
        <v>31250</v>
      </c>
      <c r="J383" t="s">
        <v>50</v>
      </c>
    </row>
    <row r="384" spans="1:10" hidden="1" x14ac:dyDescent="0.2">
      <c r="A384" t="s">
        <v>23</v>
      </c>
      <c r="B384" t="s">
        <v>45</v>
      </c>
      <c r="C384">
        <v>2016</v>
      </c>
      <c r="D384" t="s">
        <v>24</v>
      </c>
      <c r="E384" t="s">
        <v>15</v>
      </c>
      <c r="F384" t="s">
        <v>16</v>
      </c>
      <c r="G384">
        <v>134</v>
      </c>
      <c r="H384" t="s">
        <v>48</v>
      </c>
      <c r="I384" s="3">
        <f>I383*1.05</f>
        <v>32812.5</v>
      </c>
      <c r="J384" t="s">
        <v>50</v>
      </c>
    </row>
    <row r="385" spans="1:10" hidden="1" x14ac:dyDescent="0.2">
      <c r="A385" t="s">
        <v>23</v>
      </c>
      <c r="B385" t="s">
        <v>45</v>
      </c>
      <c r="C385">
        <v>2017</v>
      </c>
      <c r="D385" t="s">
        <v>24</v>
      </c>
      <c r="E385" t="s">
        <v>15</v>
      </c>
      <c r="F385" t="s">
        <v>16</v>
      </c>
      <c r="G385">
        <v>134</v>
      </c>
      <c r="H385" t="s">
        <v>48</v>
      </c>
      <c r="I385" s="3">
        <f t="shared" ref="I385:I386" si="91">I384*1.05</f>
        <v>34453.125</v>
      </c>
      <c r="J385" t="s">
        <v>50</v>
      </c>
    </row>
    <row r="386" spans="1:10" hidden="1" x14ac:dyDescent="0.2">
      <c r="A386" t="s">
        <v>23</v>
      </c>
      <c r="B386" t="s">
        <v>45</v>
      </c>
      <c r="C386">
        <v>2018</v>
      </c>
      <c r="D386" t="s">
        <v>24</v>
      </c>
      <c r="E386" t="s">
        <v>15</v>
      </c>
      <c r="F386" t="s">
        <v>16</v>
      </c>
      <c r="G386">
        <v>134</v>
      </c>
      <c r="H386" t="s">
        <v>48</v>
      </c>
      <c r="I386" s="3">
        <f t="shared" si="91"/>
        <v>36175.78125</v>
      </c>
      <c r="J386" t="s">
        <v>50</v>
      </c>
    </row>
  </sheetData>
  <autoFilter ref="A18:J386" xr:uid="{F1B0E330-D6F3-0A4A-9506-A56DA54492D0}">
    <filterColumn colId="0">
      <filters>
        <filter val="Coupe"/>
      </filters>
    </filterColumn>
    <filterColumn colId="1">
      <filters>
        <filter val="Chevrolet"/>
      </filters>
    </filterColumn>
  </autoFilter>
  <mergeCells count="1">
    <mergeCell ref="D2:F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3.findModel">
                <anchor moveWithCells="1" sizeWithCells="1">
                  <from>
                    <xdr:col>2</xdr:col>
                    <xdr:colOff>292100</xdr:colOff>
                    <xdr:row>4</xdr:row>
                    <xdr:rowOff>63500</xdr:rowOff>
                  </from>
                  <to>
                    <xdr:col>6</xdr:col>
                    <xdr:colOff>342900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Sheet3.clearAll">
                <anchor moveWithCells="1" sizeWithCells="1">
                  <from>
                    <xdr:col>3</xdr:col>
                    <xdr:colOff>419100</xdr:colOff>
                    <xdr:row>10</xdr:row>
                    <xdr:rowOff>38100</xdr:rowOff>
                  </from>
                  <to>
                    <xdr:col>6</xdr:col>
                    <xdr:colOff>279400</xdr:colOff>
                    <xdr:row>12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200-000000000000}">
          <x14:formula1>
            <xm:f>Sheet2!$A$2:$A$5</xm:f>
          </x14:formula1>
          <xm:sqref>B1</xm:sqref>
        </x14:dataValidation>
        <x14:dataValidation type="list" allowBlank="1" showInputMessage="1" showErrorMessage="1" xr:uid="{00000000-0002-0000-0200-000001000000}">
          <x14:formula1>
            <xm:f>Sheet2!$B$2:$B$7</xm:f>
          </x14:formula1>
          <xm:sqref>B2</xm:sqref>
        </x14:dataValidation>
        <x14:dataValidation type="list" allowBlank="1" showInputMessage="1" showErrorMessage="1" xr:uid="{00000000-0002-0000-0200-000002000000}">
          <x14:formula1>
            <xm:f>Sheet2!$C$2:$C$5</xm:f>
          </x14:formula1>
          <xm:sqref>B3</xm:sqref>
        </x14:dataValidation>
        <x14:dataValidation type="list" allowBlank="1" showInputMessage="1" showErrorMessage="1" xr:uid="{00000000-0002-0000-0200-000003000000}">
          <x14:formula1>
            <xm:f>Sheet2!$E$2:$E$4</xm:f>
          </x14:formula1>
          <xm:sqref>B4</xm:sqref>
        </x14:dataValidation>
        <x14:dataValidation type="list" allowBlank="1" showInputMessage="1" showErrorMessage="1" xr:uid="{00000000-0002-0000-0200-000004000000}">
          <x14:formula1>
            <xm:f>Sheet2!$F$2:$F$3</xm:f>
          </x14:formula1>
          <xm:sqref>B5</xm:sqref>
        </x14:dataValidation>
        <x14:dataValidation type="list" allowBlank="1" showInputMessage="1" showErrorMessage="1" xr:uid="{00000000-0002-0000-0200-000005000000}">
          <x14:formula1>
            <xm:f>Sheet2!$H$2:$H$21</xm:f>
          </x14:formula1>
          <xm:sqref>B6</xm:sqref>
        </x14:dataValidation>
        <x14:dataValidation type="list" allowBlank="1" showInputMessage="1" showErrorMessage="1" xr:uid="{00000000-0002-0000-0200-000006000000}">
          <x14:formula1>
            <xm:f>Sheet2!$I$2:$I$21</xm:f>
          </x14:formula1>
          <xm:sqref>B7</xm:sqref>
        </x14:dataValidation>
        <x14:dataValidation type="list" allowBlank="1" showInputMessage="1" showErrorMessage="1" xr:uid="{00000000-0002-0000-0200-000007000000}">
          <x14:formula1>
            <xm:f>Sheet2!$J$2:$J$79</xm:f>
          </x14:formula1>
          <xm:sqref>B8</xm:sqref>
        </x14:dataValidation>
        <x14:dataValidation type="list" allowBlank="1" showInputMessage="1" showErrorMessage="1" xr:uid="{00000000-0002-0000-0200-000008000000}">
          <x14:formula1>
            <xm:f>Sheet2!$K$2:$K$5</xm:f>
          </x14:formula1>
          <xm:sqref>B9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CALIBRE Systems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So, Andrew</dc:creator>
  <cp:lastModifiedBy>snirujog</cp:lastModifiedBy>
  <dcterms:created xsi:type="dcterms:W3CDTF">2018-04-30T03:28:24Z</dcterms:created>
  <dcterms:modified xsi:type="dcterms:W3CDTF">2018-04-30T19:51:52Z</dcterms:modified>
</cp:coreProperties>
</file>